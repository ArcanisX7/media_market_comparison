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rrlib-my.sharepoint.com/personal/m_pstross_arr-nisa_cz/Documents/Plocha/borgis projekt/01_data/"/>
    </mc:Choice>
  </mc:AlternateContent>
  <xr:revisionPtr revIDLastSave="5" documentId="13_ncr:1_{B63C3283-0871-4D96-90B7-E493E29EE8C1}" xr6:coauthVersionLast="47" xr6:coauthVersionMax="47" xr10:uidLastSave="{AA716941-A009-4CF8-90D7-1E395BBDDF14}"/>
  <bookViews>
    <workbookView xWindow="-120" yWindow="-120" windowWidth="29040" windowHeight="15720" xr2:uid="{00000000-000D-0000-FFFF-FFFF00000000}"/>
  </bookViews>
  <sheets>
    <sheet name="data" sheetId="1" r:id="rId1"/>
    <sheet name="kt" sheetId="2" r:id="rId2"/>
  </sheets>
  <definedNames>
    <definedName name="_xlnm._FilterDatabase" localSheetId="0" hidden="1">data!$A$1:$P$121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<sst xmlns="http://schemas.openxmlformats.org/spreadsheetml/2006/main" count="294" uniqueCount="33">
  <si>
    <t>Media channel</t>
  </si>
  <si>
    <t>Month</t>
  </si>
  <si>
    <t>Real users</t>
  </si>
  <si>
    <t>Views</t>
  </si>
  <si>
    <t>Visits</t>
  </si>
  <si>
    <t>Time [s]</t>
  </si>
  <si>
    <t>ATS [s]</t>
  </si>
  <si>
    <t>Reach</t>
  </si>
  <si>
    <t>Audience share</t>
  </si>
  <si>
    <t>Share of time</t>
  </si>
  <si>
    <t>Time per view [s]</t>
  </si>
  <si>
    <t>Time per visit [s]</t>
  </si>
  <si>
    <t>Views share</t>
  </si>
  <si>
    <t>Views per real user</t>
  </si>
  <si>
    <t>Visits per real user</t>
  </si>
  <si>
    <t>All</t>
  </si>
  <si>
    <t>-</t>
  </si>
  <si>
    <t>novinky.cz</t>
  </si>
  <si>
    <t>idnes.cz</t>
  </si>
  <si>
    <t>denik.cz</t>
  </si>
  <si>
    <t>super.cz</t>
  </si>
  <si>
    <t>sport.cz</t>
  </si>
  <si>
    <t>aktualne.cz</t>
  </si>
  <si>
    <t>blesk.cz</t>
  </si>
  <si>
    <t>extra.cz</t>
  </si>
  <si>
    <t>expres.cz</t>
  </si>
  <si>
    <t>Popisky řádků</t>
  </si>
  <si>
    <t>Celkový součet</t>
  </si>
  <si>
    <t>(Vše)</t>
  </si>
  <si>
    <t>Main focus</t>
  </si>
  <si>
    <t>news</t>
  </si>
  <si>
    <t>tabloid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</si>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</sst>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yyyy"/>
    <numFmt numFmtId="165" formatCode="#,##0.00%"/>
    <numFmt numFmtId="166" formatCode="mm\-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3" fillId="0" borderId="0" xfId="0" applyFont="1"/>
    <xf numFmtId="0" fontId="3" fillId="2" borderId="0" xfId="0" applyFont="1" applyFill="1"/>
  </cellXfs>
  <cellStyles count="1">
    <cellStyle name="Normální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#,##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#,##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#,##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#,##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mm\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mm\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 Pštross" refreshedDate="46144.570608333335" createdVersion="8" refreshedVersion="8" minRefreshableVersion="3" recordCount="120" xr:uid="{060E9B6F-EABC-475A-BDBF-61C8EB7756BB}">
  <cacheSource type="worksheet">
    <worksheetSource ref="A1:P121" sheet="data"/>
  </cacheSource>
  <cacheFields count="19">
    <cacheField name="Media channel" numFmtId="0">
      <sharedItems count="10">
        <s v="aktualne.cz"/>
        <s v="All"/>
        <s v="blesk.cz"/>
        <s v="denik.cz"/>
        <s v="extra.cz"/>
        <s v="idnes.cz"/>
        <s v="novinky.cz"/>
        <s v="sport.cz"/>
        <s v="super.cz"/>
        <s v="expres.cz"/>
      </sharedItems>
    </cacheField>
    <cacheField name="Month" numFmtId="164">
      <sharedItems containsSemiMixedTypes="0" containsNonDate="0" containsDate="1" containsString="0" minDate="2025-05-01T00:00:00" maxDate="2026-04-02T00:00:00" count="12"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</sharedItems>
      <fieldGroup par="18"/>
    </cacheField>
    <cacheField name="Main focus" numFmtId="0">
      <sharedItems containsNonDate="0" containsBlank="1" count="4">
        <s v="news"/>
        <m/>
        <s v="tabloid"/>
        <s v="sport"/>
      </sharedItems>
    </cacheField>
    <cacheField name="Real users" numFmtId="3">
      <sharedItems containsSemiMixedTypes="0" containsString="0" containsNumber="1" containsInteger="1" minValue="798160" maxValue="8855616"/>
    </cacheField>
    <cacheField name="Views" numFmtId="3">
      <sharedItems containsSemiMixedTypes="0" containsString="0" containsNumber="1" containsInteger="1" minValue="12196116" maxValue="11170850511"/>
    </cacheField>
    <cacheField name="Visits" numFmtId="3">
      <sharedItems containsMixedTypes="1" containsNumber="1" containsInteger="1" minValue="2230157" maxValue="161117506"/>
    </cacheField>
    <cacheField name="Time [s]" numFmtId="0">
      <sharedItems containsSemiMixedTypes="0" containsString="0" containsNumber="1" minValue="296844052.56000131" maxValue="1570965422774.8928"/>
    </cacheField>
    <cacheField name="ATS [s]" numFmtId="4">
      <sharedItems containsSemiMixedTypes="0" containsString="0" containsNumber="1" minValue="326.24703092999999" maxValue="177397.64492666"/>
    </cacheField>
    <cacheField name="Reach" numFmtId="165">
      <sharedItems containsSemiMixedTypes="0" containsString="0" containsNumber="1" minValue="9.0320650000000002E-2" maxValue="0.99994037999999996"/>
    </cacheField>
    <cacheField name="Audience share" numFmtId="165">
      <sharedItems containsSemiMixedTypes="0" containsString="0" containsNumber="1" minValue="9.0335949999999998E-2" maxValue="1"/>
    </cacheField>
    <cacheField name="Share of time" numFmtId="165">
      <sharedItems containsSemiMixedTypes="0" containsString="0" containsNumber="1" minValue="2.0602000000000001E-4" maxValue="1"/>
    </cacheField>
    <cacheField name="Time per view [s]" numFmtId="4">
      <sharedItems containsSemiMixedTypes="0" containsString="0" containsNumber="1" minValue="15.76139759" maxValue="146.76133772"/>
    </cacheField>
    <cacheField name="Time per visit [s]" numFmtId="0">
      <sharedItems containsMixedTypes="1" containsNumber="1" minValue="115.54184185" maxValue="238.22248549"/>
    </cacheField>
    <cacheField name="Views share" numFmtId="165">
      <sharedItems containsSemiMixedTypes="0" containsString="0" containsNumber="1" minValue="1.1816699999999999E-3" maxValue="1"/>
    </cacheField>
    <cacheField name="Views per real user" numFmtId="4">
      <sharedItems containsSemiMixedTypes="0" containsString="0" containsNumber="1" minValue="10.96995356" maxValue="1261.44251411"/>
    </cacheField>
    <cacheField name="Visits per real user" numFmtId="4">
      <sharedItems containsMixedTypes="1" containsNumber="1" minValue="2.4681114599999998" maxValue="32.241195169999997"/>
    </cacheField>
    <cacheField name="Měsíce (Month)" numFmtId="0" databaseField="0">
      <fieldGroup base="1">
        <rangePr groupBy="months" startDate="2025-05-01T00:00:00" endDate="2026-04-02T00:00:00"/>
        <groupItems count="14">
          <s v="&lt;01.05.2025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02.04.2026"/>
        </groupItems>
      </fieldGroup>
    </cacheField>
    <cacheField name="Čtvrtletí (Month)" numFmtId="0" databaseField="0">
      <fieldGroup base="1">
        <rangePr groupBy="quarters" startDate="2025-05-01T00:00:00" endDate="2026-04-02T00:00:00"/>
        <groupItems count="6">
          <s v="&lt;01.05.2025"/>
          <s v="Čtv1"/>
          <s v="Čtv2"/>
          <s v="Čtv3"/>
          <s v="Čtv4"/>
          <s v="&gt;02.04.2026"/>
        </groupItems>
      </fieldGroup>
    </cacheField>
    <cacheField name="Roky (Month)" numFmtId="0" databaseField="0">
      <fieldGroup base="1">
        <rangePr groupBy="years" startDate="2025-05-01T00:00:00" endDate="2026-04-02T00:00:00"/>
        <groupItems count="4">
          <s v="&lt;01.05.2025"/>
          <s v="2025"/>
          <s v="2026"/>
          <s v="&gt;02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n v="2779040"/>
    <n v="61381552"/>
    <n v="18722196"/>
    <n v="3970585103.7595706"/>
    <n v="1428.7614081700001"/>
    <n v="0.32520828000000002"/>
    <n v="0.32531212999999998"/>
    <n v="3.5344600000000001E-3"/>
    <n v="64.686945080000001"/>
    <n v="212.07902390000001"/>
    <n v="5.7280100000000004E-3"/>
    <n v="22.087322360000002"/>
    <n v="6.7369293900000002"/>
  </r>
  <r>
    <x v="1"/>
    <x v="0"/>
    <x v="1"/>
    <n v="8542688"/>
    <n v="10716026643"/>
    <s v="-"/>
    <n v="1123391097451.0825"/>
    <n v="131503.23381248"/>
    <n v="0.99968075999999995"/>
    <n v="1"/>
    <n v="1"/>
    <n v="104.83280182999999"/>
    <s v="-"/>
    <n v="1"/>
    <n v="1254.4092260699999"/>
    <s v="-"/>
  </r>
  <r>
    <x v="2"/>
    <x v="0"/>
    <x v="2"/>
    <n v="2611400"/>
    <n v="94897078"/>
    <n v="22004516"/>
    <n v="4479246473.6796865"/>
    <n v="1715.2663221600001"/>
    <n v="0.30559074000000003"/>
    <n v="0.30568833000000001"/>
    <n v="3.9872500000000003E-3"/>
    <n v="47.201099900000003"/>
    <n v="203.56032558000001"/>
    <n v="8.8556199999999998E-3"/>
    <n v="36.339541359999998"/>
    <n v="8.4263292300000003"/>
  </r>
  <r>
    <x v="3"/>
    <x v="0"/>
    <x v="0"/>
    <n v="4030928"/>
    <n v="85821772"/>
    <n v="25392606"/>
    <n v="3874758657.4394393"/>
    <n v="961.25722351000002"/>
    <n v="0.47170646999999999"/>
    <n v="0.47185709999999997"/>
    <n v="3.4491600000000002E-3"/>
    <n v="45.148900609999998"/>
    <n v="152.59397439"/>
    <n v="8.0087300000000004E-3"/>
    <n v="21.290822380000002"/>
    <n v="6.2994441800000001"/>
  </r>
  <r>
    <x v="4"/>
    <x v="0"/>
    <x v="2"/>
    <n v="1852048"/>
    <n v="97150192"/>
    <n v="11233970"/>
    <n v="1730928308.5599301"/>
    <n v="934.60229355000001"/>
    <n v="0.21673000000000001"/>
    <n v="0.21679920999999999"/>
    <n v="1.5408100000000001E-3"/>
    <n v="17.81703443"/>
    <n v="154.07984074999999"/>
    <n v="9.0658800000000001E-3"/>
    <n v="52.455547369999998"/>
    <n v="6.0657013199999996"/>
  </r>
  <r>
    <x v="5"/>
    <x v="0"/>
    <x v="0"/>
    <n v="4089008"/>
    <n v="387898020"/>
    <n v="53744155"/>
    <n v="12803066099.118996"/>
    <n v="3131.09343369"/>
    <n v="0.47850309000000002"/>
    <n v="0.47865590000000002"/>
    <n v="1.13968E-2"/>
    <n v="33.00626828"/>
    <n v="238.22248549"/>
    <n v="3.6197930000000003E-2"/>
    <n v="94.863600050000002"/>
    <n v="13.143567989999999"/>
  </r>
  <r>
    <x v="6"/>
    <x v="0"/>
    <x v="0"/>
    <n v="4866312"/>
    <n v="336235732"/>
    <n v="138803305"/>
    <n v="31477535389.561375"/>
    <n v="6468.4581238399996"/>
    <n v="0.56946461000000004"/>
    <n v="0.56964645999999997"/>
    <n v="2.8020099999999999E-2"/>
    <n v="93.617460609999995"/>
    <n v="226.77799690000001"/>
    <n v="3.1376899999999999E-2"/>
    <n v="69.094569340000007"/>
    <n v="28.523305669999999"/>
  </r>
  <r>
    <x v="7"/>
    <x v="0"/>
    <x v="3"/>
    <n v="3305368"/>
    <n v="152939557"/>
    <n v="54754631"/>
    <n v="9921852166.1588974"/>
    <n v="3001.7390396999999"/>
    <n v="0.38680013000000002"/>
    <n v="0.38692365000000001"/>
    <n v="8.8320599999999992E-3"/>
    <n v="64.874335770000002"/>
    <n v="181.20571575"/>
    <n v="1.427204E-2"/>
    <n v="46.270054309999999"/>
    <n v="16.5653662"/>
  </r>
  <r>
    <x v="8"/>
    <x v="0"/>
    <x v="2"/>
    <n v="3572096"/>
    <n v="147646468"/>
    <n v="65412037"/>
    <n v="11230859996.398981"/>
    <n v="3144.0532383200002"/>
    <n v="0.41801312000000002"/>
    <n v="0.41814660999999997"/>
    <n v="9.9972800000000007E-3"/>
    <n v="76.065890139999993"/>
    <n v="171.69408791000001"/>
    <n v="1.37781E-2"/>
    <n v="41.333286610000002"/>
    <n v="18.311948170000001"/>
  </r>
  <r>
    <x v="0"/>
    <x v="1"/>
    <x v="0"/>
    <n v="2730464"/>
    <n v="55193410"/>
    <n v="18390900"/>
    <n v="3962212409.759563"/>
    <n v="1451.11322096"/>
    <n v="0.31956990000000002"/>
    <n v="0.31969830999999999"/>
    <n v="3.7983000000000001E-3"/>
    <n v="71.787780740000002"/>
    <n v="215.44418216"/>
    <n v="5.4535800000000004E-3"/>
    <n v="20.213930640000001"/>
    <n v="6.7354486299999996"/>
  </r>
  <r>
    <x v="1"/>
    <x v="1"/>
    <x v="1"/>
    <n v="8540752"/>
    <n v="10120584594"/>
    <s v="-"/>
    <n v="1043154040802.8221"/>
    <n v="122138.43005895001"/>
    <n v="0.99959832000000004"/>
    <n v="1"/>
    <n v="1"/>
    <n v="103.07250843"/>
    <s v="-"/>
    <n v="1"/>
    <n v="1184.97581872"/>
    <s v="-"/>
  </r>
  <r>
    <x v="2"/>
    <x v="1"/>
    <x v="2"/>
    <n v="2419120"/>
    <n v="82828498"/>
    <n v="19548290"/>
    <n v="3928896429.0397291"/>
    <n v="1624.10150346"/>
    <n v="0.28313061"/>
    <n v="0.28324438000000002"/>
    <n v="3.7663599999999998E-3"/>
    <n v="47.43411424"/>
    <n v="200.98414812999999"/>
    <n v="8.1841599999999994E-3"/>
    <n v="34.239102580000001"/>
    <n v="8.0807442700000003"/>
  </r>
  <r>
    <x v="3"/>
    <x v="1"/>
    <x v="0"/>
    <n v="4049672"/>
    <n v="85563596"/>
    <n v="24138302"/>
    <n v="3452265730.319541"/>
    <n v="852.48033181999995"/>
    <n v="0.47396825999999997"/>
    <n v="0.47415871999999998"/>
    <n v="3.3094499999999998E-3"/>
    <n v="40.347366110000003"/>
    <n v="143.02023749"/>
    <n v="8.4544100000000007E-3"/>
    <n v="21.12852496"/>
    <n v="5.96055738"/>
  </r>
  <r>
    <x v="4"/>
    <x v="1"/>
    <x v="2"/>
    <n v="2061840"/>
    <n v="99141237"/>
    <n v="11290169"/>
    <n v="1729908321.6799386"/>
    <n v="839.01191251"/>
    <n v="0.24131503000000001"/>
    <n v="0.24141199999999999"/>
    <n v="1.6583399999999999E-3"/>
    <n v="17.448928089999999"/>
    <n v="153.22252964"/>
    <n v="9.7959999999999992E-3"/>
    <n v="48.08386556"/>
    <n v="5.4757737899999999"/>
  </r>
  <r>
    <x v="5"/>
    <x v="1"/>
    <x v="0"/>
    <n v="3835040"/>
    <n v="357412941"/>
    <n v="50360499"/>
    <n v="11670113403.519106"/>
    <n v="3043.02260303"/>
    <n v="0.44884801000000002"/>
    <n v="0.44902838"/>
    <n v="1.1187330000000001E-2"/>
    <n v="32.651625260000003"/>
    <n v="231.73148775000001"/>
    <n v="3.5315439999999997E-2"/>
    <n v="93.196665670000002"/>
    <n v="13.131675080000001"/>
  </r>
  <r>
    <x v="6"/>
    <x v="1"/>
    <x v="0"/>
    <n v="4872648"/>
    <n v="345052173"/>
    <n v="139610474"/>
    <n v="32092367472.92342"/>
    <n v="6586.2273394100002"/>
    <n v="0.57028827999999998"/>
    <n v="0.57051744000000004"/>
    <n v="3.0764739999999999E-2"/>
    <n v="93.007289880000002"/>
    <n v="229.87077212"/>
    <n v="3.4094100000000002E-2"/>
    <n v="70.814097989999993"/>
    <n v="28.651869390000002"/>
  </r>
  <r>
    <x v="7"/>
    <x v="1"/>
    <x v="3"/>
    <n v="2565728"/>
    <n v="81612066"/>
    <n v="35346048"/>
    <n v="6274809226.3991671"/>
    <n v="2445.6252675300002"/>
    <n v="0.30028940999999998"/>
    <n v="0.30041008000000002"/>
    <n v="6.0152299999999999E-3"/>
    <n v="76.885803039999999"/>
    <n v="177.52505654000001"/>
    <n v="8.0639700000000002E-3"/>
    <n v="31.808541640000001"/>
    <n v="13.776225820000001"/>
  </r>
  <r>
    <x v="8"/>
    <x v="1"/>
    <x v="2"/>
    <n v="3565056"/>
    <n v="148437196"/>
    <n v="64599681"/>
    <n v="10819649995.438992"/>
    <n v="3034.9172622900001"/>
    <n v="0.41724944000000003"/>
    <n v="0.41741710999999998"/>
    <n v="1.0372050000000001E-2"/>
    <n v="72.890422849999993"/>
    <n v="167.48767004000001"/>
    <n v="1.466686E-2"/>
    <n v="41.636708140000003"/>
    <n v="18.12024289"/>
  </r>
  <r>
    <x v="0"/>
    <x v="2"/>
    <x v="0"/>
    <n v="2809576"/>
    <n v="53550037"/>
    <n v="18133865"/>
    <n v="3906536591.7595625"/>
    <n v="1390.43634761"/>
    <n v="0.32952481"/>
    <n v="0.32972219000000003"/>
    <n v="3.69455E-3"/>
    <n v="72.951146179999995"/>
    <n v="215.42768454"/>
    <n v="5.18843E-3"/>
    <n v="19.059828670000002"/>
    <n v="6.4543067000000001"/>
  </r>
  <r>
    <x v="1"/>
    <x v="2"/>
    <x v="1"/>
    <n v="8521040"/>
    <n v="10321042677"/>
    <s v="-"/>
    <n v="1057377833391.5132"/>
    <n v="124090.23234153001"/>
    <n v="0.99940136999999996"/>
    <n v="1"/>
    <n v="1"/>
    <n v="102.44874152"/>
    <s v="-"/>
    <n v="1"/>
    <n v="1211.2421343599999"/>
    <s v="-"/>
  </r>
  <r>
    <x v="2"/>
    <x v="2"/>
    <x v="2"/>
    <n v="2077416"/>
    <n v="82995404"/>
    <n v="17328197"/>
    <n v="3754020381.7597775"/>
    <n v="1807.06241877"/>
    <n v="0.24365245999999999"/>
    <n v="0.24379840999999999"/>
    <n v="3.5503100000000001E-3"/>
    <n v="45.231665900000003"/>
    <n v="216.64229538999999"/>
    <n v="8.0413800000000007E-3"/>
    <n v="39.95126827"/>
    <n v="8.3412263299999996"/>
  </r>
  <r>
    <x v="3"/>
    <x v="2"/>
    <x v="0"/>
    <n v="3823072"/>
    <n v="87499805"/>
    <n v="22311711"/>
    <n v="3907633104.3194818"/>
    <n v="1022.1186272"/>
    <n v="0.44839402"/>
    <n v="0.44866260000000002"/>
    <n v="3.6955899999999999E-3"/>
    <n v="44.658763389999997"/>
    <n v="175.13820931999999"/>
    <n v="8.4778100000000006E-3"/>
    <n v="22.887302500000001"/>
    <n v="5.83606873"/>
  </r>
  <r>
    <x v="4"/>
    <x v="2"/>
    <x v="2"/>
    <n v="1845448"/>
    <n v="117823712"/>
    <n v="10840587"/>
    <n v="1857066373.359942"/>
    <n v="1006.29569262"/>
    <n v="0.21644579"/>
    <n v="0.21657544000000001"/>
    <n v="1.75629E-3"/>
    <n v="15.76139759"/>
    <n v="171.30680771999999"/>
    <n v="1.141587E-2"/>
    <n v="63.845587719999997"/>
    <n v="5.8742305999999997"/>
  </r>
  <r>
    <x v="5"/>
    <x v="2"/>
    <x v="0"/>
    <n v="3962464"/>
    <n v="392954951"/>
    <n v="52496780"/>
    <n v="12213732172.399025"/>
    <n v="3082.3578895400001"/>
    <n v="0.46474280000000001"/>
    <n v="0.46502116999999998"/>
    <n v="1.1550960000000001E-2"/>
    <n v="31.08176177"/>
    <n v="232.65678647999999"/>
    <n v="3.8073179999999998E-2"/>
    <n v="99.169342850000007"/>
    <n v="13.248519140000001"/>
  </r>
  <r>
    <x v="6"/>
    <x v="2"/>
    <x v="0"/>
    <n v="4879336"/>
    <n v="347212571"/>
    <n v="136632888"/>
    <n v="31574621845.403862"/>
    <n v="6471.0898871099998"/>
    <n v="0.57227932999999997"/>
    <n v="0.57262212000000001"/>
    <n v="2.9861249999999999E-2"/>
    <n v="90.937438520000001"/>
    <n v="231.09093572"/>
    <n v="3.3641230000000001E-2"/>
    <n v="71.159799449999994"/>
    <n v="28.002352699999999"/>
  </r>
  <r>
    <x v="7"/>
    <x v="2"/>
    <x v="3"/>
    <n v="2753696"/>
    <n v="98510404"/>
    <n v="39952139"/>
    <n v="7336785265.0391331"/>
    <n v="2664.3410402"/>
    <n v="0.32297084999999998"/>
    <n v="0.32316431000000001"/>
    <n v="6.9386600000000001E-3"/>
    <n v="74.477262920000001"/>
    <n v="183.63936053"/>
    <n v="9.5446200000000002E-3"/>
    <n v="35.773885020000002"/>
    <n v="14.508551069999999"/>
  </r>
  <r>
    <x v="8"/>
    <x v="2"/>
    <x v="2"/>
    <n v="3511376"/>
    <n v="157603223"/>
    <n v="63944473"/>
    <n v="11424431996.559029"/>
    <n v="3253.5484654900001"/>
    <n v="0.41183635000000002"/>
    <n v="0.41208303000000002"/>
    <n v="1.080449E-2"/>
    <n v="72.488568150000006"/>
    <n v="178.66175823"/>
    <n v="1.527009E-2"/>
    <n v="44.883607840000003"/>
    <n v="18.210659620000001"/>
  </r>
  <r>
    <x v="0"/>
    <x v="3"/>
    <x v="0"/>
    <n v="2445520"/>
    <n v="46763551"/>
    <n v="15708699"/>
    <n v="3517937147.1196547"/>
    <n v="1438.5231554500001"/>
    <n v="0.28671653000000002"/>
    <n v="0.28685562999999997"/>
    <n v="3.4384200000000002E-3"/>
    <n v="75.228186539999996"/>
    <n v="223.94834924"/>
    <n v="4.8076500000000001E-3"/>
    <n v="19.122129900000001"/>
    <n v="6.4234595199999998"/>
  </r>
  <r>
    <x v="1"/>
    <x v="3"/>
    <x v="1"/>
    <n v="8525264"/>
    <n v="9726914033"/>
    <s v="-"/>
    <n v="1023125633823.1134"/>
    <n v="120011.02063503"/>
    <n v="0.99951509000000005"/>
    <n v="1"/>
    <n v="1"/>
    <n v="105.18501864"/>
    <s v="-"/>
    <n v="1"/>
    <n v="1140.9516506299999"/>
    <s v="-"/>
  </r>
  <r>
    <x v="2"/>
    <x v="3"/>
    <x v="2"/>
    <n v="2006312"/>
    <n v="73341085"/>
    <n v="16347324"/>
    <n v="3437829445.5998206"/>
    <n v="1713.50689504"/>
    <n v="0.23522311000000001"/>
    <n v="0.23533723000000001"/>
    <n v="3.3601199999999999E-3"/>
    <n v="46.874537609999997"/>
    <n v="210.29921236999999"/>
    <n v="7.5400199999999997E-3"/>
    <n v="36.555174350000001"/>
    <n v="8.1479472800000003"/>
  </r>
  <r>
    <x v="3"/>
    <x v="3"/>
    <x v="0"/>
    <n v="3723984"/>
    <n v="78018871"/>
    <n v="22475355"/>
    <n v="4053576910.2394767"/>
    <n v="1088.5054582"/>
    <n v="0.43660562000000003"/>
    <n v="0.43681744"/>
    <n v="3.9619499999999997E-3"/>
    <n v="51.956364610000001"/>
    <n v="180.35652526000001"/>
    <n v="8.0209300000000008E-3"/>
    <n v="20.950377620000001"/>
    <n v="6.03529845"/>
  </r>
  <r>
    <x v="4"/>
    <x v="3"/>
    <x v="2"/>
    <n v="1918752"/>
    <n v="89992172"/>
    <n v="10840114"/>
    <n v="1766715219.2799492"/>
    <n v="920.76267244999997"/>
    <n v="0.22495744000000001"/>
    <n v="0.22506657999999999"/>
    <n v="1.72678E-3"/>
    <n v="19.631876609999999"/>
    <n v="162.97939961"/>
    <n v="9.2518700000000006E-3"/>
    <n v="46.901408920000002"/>
    <n v="5.6495647599999996"/>
  </r>
  <r>
    <x v="5"/>
    <x v="3"/>
    <x v="0"/>
    <n v="3883264"/>
    <n v="367399179"/>
    <n v="50565729"/>
    <n v="11764233862.479021"/>
    <n v="3029.4705336699999"/>
    <n v="0.45527985999999998"/>
    <n v="0.45550073000000002"/>
    <n v="1.1498329999999999E-2"/>
    <n v="32.020305260000001"/>
    <n v="232.65231274000001"/>
    <n v="3.7771399999999997E-2"/>
    <n v="94.610919820000007"/>
    <n v="13.02145033"/>
  </r>
  <r>
    <x v="6"/>
    <x v="3"/>
    <x v="0"/>
    <n v="4696824"/>
    <n v="318813693"/>
    <n v="129952302"/>
    <n v="29770080200.119823"/>
    <n v="6338.34271842"/>
    <n v="0.55066287999999997"/>
    <n v="0.55093004000000001"/>
    <n v="2.9097189999999998E-2"/>
    <n v="93.377671070000005"/>
    <n v="229.08466901"/>
    <n v="3.2776449999999999E-2"/>
    <n v="67.878569310000003"/>
    <n v="27.668122650000001"/>
  </r>
  <r>
    <x v="7"/>
    <x v="3"/>
    <x v="3"/>
    <n v="2537128"/>
    <n v="103693625"/>
    <n v="39640491"/>
    <n v="6881889199.6791859"/>
    <n v="2712.4722125500002"/>
    <n v="0.29745680000000002"/>
    <n v="0.29760111"/>
    <n v="6.7263399999999999E-3"/>
    <n v="66.36752439"/>
    <n v="173.60756899"/>
    <n v="1.066049E-2"/>
    <n v="40.870474489999999"/>
    <n v="15.62415872"/>
  </r>
  <r>
    <x v="8"/>
    <x v="3"/>
    <x v="2"/>
    <n v="3473184"/>
    <n v="149191242"/>
    <n v="63291646"/>
    <n v="10689458998.239019"/>
    <n v="3077.7116899799998"/>
    <n v="0.40720144000000003"/>
    <n v="0.40739900000000001"/>
    <n v="1.044785E-2"/>
    <n v="71.649373460000007"/>
    <n v="168.89209989"/>
    <n v="1.5337979999999999E-2"/>
    <n v="42.955179389999998"/>
    <n v="18.222946440000001"/>
  </r>
  <r>
    <x v="0"/>
    <x v="4"/>
    <x v="0"/>
    <n v="3273952"/>
    <n v="53670600"/>
    <n v="23931041"/>
    <n v="3966681403.5194688"/>
    <n v="1211.58813676"/>
    <n v="0.37533923000000002"/>
    <n v="0.37536953000000001"/>
    <n v="3.8859400000000001E-3"/>
    <n v="73.907901449999997"/>
    <n v="165.75465188999999"/>
    <n v="5.3156799999999997E-3"/>
    <n v="16.393215250000001"/>
    <n v="7.3095271999999998"/>
  </r>
  <r>
    <x v="1"/>
    <x v="4"/>
    <x v="1"/>
    <n v="8721944"/>
    <n v="10096659224"/>
    <s v="-"/>
    <n v="1020778100132.6678"/>
    <n v="117035.6173042"/>
    <n v="0.99991929000000002"/>
    <n v="1"/>
    <n v="1"/>
    <n v="101.10057965"/>
    <s v="-"/>
    <n v="1"/>
    <n v="1157.61569027"/>
    <s v="-"/>
  </r>
  <r>
    <x v="2"/>
    <x v="4"/>
    <x v="2"/>
    <n v="1983432"/>
    <n v="67695485"/>
    <n v="15399896"/>
    <n v="3158172287.5998602"/>
    <n v="1592.2765628499999"/>
    <n v="0.22738875"/>
    <n v="0.2274071"/>
    <n v="3.0938900000000002E-3"/>
    <n v="46.652627819999999"/>
    <n v="205.07750537999999"/>
    <n v="6.7047399999999998E-3"/>
    <n v="34.130479610000002"/>
    <n v="7.7642672700000004"/>
  </r>
  <r>
    <x v="3"/>
    <x v="4"/>
    <x v="0"/>
    <n v="4400352"/>
    <n v="70123121"/>
    <n v="30310921"/>
    <n v="3643836085.9994602"/>
    <n v="828.07831872999998"/>
    <n v="0.50447432999999997"/>
    <n v="0.50451504999999996"/>
    <n v="3.56967E-3"/>
    <n v="51.963404130000001"/>
    <n v="120.21528905"/>
    <n v="6.9451799999999996E-3"/>
    <n v="15.935798139999999"/>
    <n v="6.8882945400000004"/>
  </r>
  <r>
    <x v="4"/>
    <x v="4"/>
    <x v="2"/>
    <n v="2496560"/>
    <n v="78606012"/>
    <n v="12520705"/>
    <n v="1662654033.9199347"/>
    <n v="665.97799929999996"/>
    <n v="0.28621584"/>
    <n v="0.28623894"/>
    <n v="1.6288100000000001E-3"/>
    <n v="21.151741260000001"/>
    <n v="132.79236417000001"/>
    <n v="7.7853499999999999E-3"/>
    <n v="31.485729289999998"/>
    <n v="5.0151829399999999"/>
  </r>
  <r>
    <x v="5"/>
    <x v="4"/>
    <x v="0"/>
    <n v="4466000"/>
    <n v="356260982"/>
    <n v="53106207"/>
    <n v="11382912577.519171"/>
    <n v="2548.7936805899999"/>
    <n v="0.51200047999999998"/>
    <n v="0.51204181000000004"/>
    <n v="1.115121E-2"/>
    <n v="31.95105036"/>
    <n v="214.34241166999999"/>
    <n v="3.5285039999999997E-2"/>
    <n v="79.771827590000001"/>
    <n v="11.89122424"/>
  </r>
  <r>
    <x v="6"/>
    <x v="4"/>
    <x v="0"/>
    <n v="5215584"/>
    <n v="324920618"/>
    <n v="137589954"/>
    <n v="30130248347.799473"/>
    <n v="5776.9654074800001"/>
    <n v="0.59793585999999999"/>
    <n v="0.59798412000000001"/>
    <n v="2.9516939999999998E-2"/>
    <n v="92.731106240000003"/>
    <n v="218.98581662000001"/>
    <n v="3.2181000000000001E-2"/>
    <n v="62.298031819999999"/>
    <n v="26.380545990000002"/>
  </r>
  <r>
    <x v="7"/>
    <x v="4"/>
    <x v="3"/>
    <n v="2585616"/>
    <n v="108156688"/>
    <n v="40575754"/>
    <n v="7063608032.7992325"/>
    <n v="2731.88595399"/>
    <n v="0.29642558000000002"/>
    <n v="0.29644951000000003"/>
    <n v="6.9198300000000001E-3"/>
    <n v="65.309026919999994"/>
    <n v="174.08445666"/>
    <n v="1.071213E-2"/>
    <n v="41.830143290000002"/>
    <n v="15.692876930000001"/>
  </r>
  <r>
    <x v="8"/>
    <x v="4"/>
    <x v="2"/>
    <n v="3792536"/>
    <n v="144359728"/>
    <n v="64827453"/>
    <n v="10815576004.638941"/>
    <n v="2851.80575864"/>
    <n v="0.43479182"/>
    <n v="0.43482691000000001"/>
    <n v="1.0595419999999999E-2"/>
    <n v="74.921005449999996"/>
    <n v="166.83635616999999"/>
    <n v="1.429777E-2"/>
    <n v="38.064168270000003"/>
    <n v="17.0934311"/>
  </r>
  <r>
    <x v="0"/>
    <x v="5"/>
    <x v="0"/>
    <n v="3230480"/>
    <n v="62847198"/>
    <n v="27828024"/>
    <n v="4723092432.0793419"/>
    <n v="1462.04044974"/>
    <n v="0.36815661"/>
    <n v="0.36819352999999999"/>
    <n v="4.2706300000000001E-3"/>
    <n v="75.151997420000001"/>
    <n v="169.72432226999999"/>
    <n v="5.9679700000000004E-3"/>
    <n v="19.454445660000001"/>
    <n v="8.6142070299999993"/>
  </r>
  <r>
    <x v="1"/>
    <x v="5"/>
    <x v="1"/>
    <n v="8773864"/>
    <n v="10530747872"/>
    <s v="-"/>
    <n v="1105946307350.8188"/>
    <n v="126050.08549834001"/>
    <n v="0.99989971"/>
    <n v="1"/>
    <n v="1"/>
    <n v="105.02068047"/>
    <s v="-"/>
    <n v="1"/>
    <n v="1200.2406091099999"/>
    <s v="-"/>
  </r>
  <r>
    <x v="2"/>
    <x v="5"/>
    <x v="2"/>
    <n v="2089736"/>
    <n v="74937426"/>
    <n v="17133432"/>
    <n v="3486183273.7598038"/>
    <n v="1668.2409997100001"/>
    <n v="0.23815349999999999"/>
    <n v="0.23817738999999999"/>
    <n v="3.1522199999999998E-3"/>
    <n v="46.521257220000003"/>
    <n v="203.47256113"/>
    <n v="7.1160599999999996E-3"/>
    <n v="35.859757440000003"/>
    <n v="8.1988499600000004"/>
  </r>
  <r>
    <x v="3"/>
    <x v="5"/>
    <x v="0"/>
    <n v="4298888"/>
    <n v="73301280"/>
    <n v="31823595"/>
    <n v="3931035111.5194249"/>
    <n v="914.43068801000004"/>
    <n v="0.48991605999999999"/>
    <n v="0.48996519999999999"/>
    <n v="3.5544499999999998E-3"/>
    <n v="53.628464819999998"/>
    <n v="123.52580299"/>
    <n v="6.9606900000000003E-3"/>
    <n v="17.051218810000002"/>
    <n v="7.4027504000000004"/>
  </r>
  <r>
    <x v="4"/>
    <x v="5"/>
    <x v="2"/>
    <n v="2406448"/>
    <n v="79828631"/>
    <n v="14625248"/>
    <n v="1914228033.5198894"/>
    <n v="795.45788378999998"/>
    <n v="0.27424709000000003"/>
    <n v="0.27427459999999998"/>
    <n v="1.7308499999999999E-3"/>
    <n v="23.979216709999999"/>
    <n v="130.88516745000001"/>
    <n v="7.5805300000000003E-3"/>
    <n v="33.172805160000003"/>
    <n v="6.0775250500000002"/>
  </r>
  <r>
    <x v="5"/>
    <x v="5"/>
    <x v="0"/>
    <n v="4390584"/>
    <n v="381497233"/>
    <n v="56672645"/>
    <n v="12371310602.639135"/>
    <n v="2817.69136011"/>
    <n v="0.50036605000000001"/>
    <n v="0.50041623999999996"/>
    <n v="1.118618E-2"/>
    <n v="32.428310170000003"/>
    <n v="218.29421574"/>
    <n v="3.6226979999999999E-2"/>
    <n v="86.889860900000002"/>
    <n v="12.90776923"/>
  </r>
  <r>
    <x v="6"/>
    <x v="5"/>
    <x v="0"/>
    <n v="5131368"/>
    <n v="380891381"/>
    <n v="150359502"/>
    <n v="33530886374.52536"/>
    <n v="6534.4926293600001"/>
    <n v="0.58478834000000002"/>
    <n v="0.58484700000000001"/>
    <n v="3.0318729999999999E-2"/>
    <n v="88.032672910000002"/>
    <n v="223.00477071"/>
    <n v="3.6169449999999999E-2"/>
    <n v="74.22803845"/>
    <n v="29.30203066"/>
  </r>
  <r>
    <x v="7"/>
    <x v="5"/>
    <x v="3"/>
    <n v="2510376"/>
    <n v="114336321"/>
    <n v="43396648"/>
    <n v="7431987023.1191597"/>
    <n v="2960.5075188400001"/>
    <n v="0.28609108"/>
    <n v="0.28611977999999999"/>
    <n v="6.7200300000000001E-3"/>
    <n v="65.001103650000005"/>
    <n v="171.25716672999999"/>
    <n v="1.085738E-2"/>
    <n v="45.545496200000002"/>
    <n v="17.286911700000001"/>
  </r>
  <r>
    <x v="8"/>
    <x v="5"/>
    <x v="2"/>
    <n v="3561800"/>
    <n v="155592613"/>
    <n v="70906736"/>
    <n v="11657768996.718931"/>
    <n v="3272.9993252600002"/>
    <n v="0.40591497999999998"/>
    <n v="0.40595568999999998"/>
    <n v="1.054099E-2"/>
    <n v="74.924951800000002"/>
    <n v="164.40989540999999"/>
    <n v="1.4775079999999999E-2"/>
    <n v="43.683702779999997"/>
    <n v="19.907556759999999"/>
  </r>
  <r>
    <x v="0"/>
    <x v="6"/>
    <x v="0"/>
    <n v="3108512"/>
    <n v="53237002"/>
    <n v="24251438"/>
    <n v="4105614523.1194563"/>
    <n v="1320.765216"/>
    <n v="0.35437044000000001"/>
    <n v="0.35442378000000002"/>
    <n v="3.1652500000000001E-3"/>
    <n v="77.11956687"/>
    <n v="169.29365440999999"/>
    <n v="5.2961299999999996E-3"/>
    <n v="17.126201170000002"/>
    <n v="7.8016226900000003"/>
  </r>
  <r>
    <x v="1"/>
    <x v="6"/>
    <x v="1"/>
    <n v="8770608"/>
    <n v="10052060058"/>
    <s v="-"/>
    <n v="1297092162732.9622"/>
    <n v="147890.79191920999"/>
    <n v="0.99984952000000005"/>
    <n v="1"/>
    <n v="1"/>
    <n v="129.03744656999999"/>
    <s v="-"/>
    <n v="1"/>
    <n v="1146.1075513200001"/>
    <s v="-"/>
  </r>
  <r>
    <x v="2"/>
    <x v="6"/>
    <x v="2"/>
    <n v="2053216"/>
    <n v="70933029"/>
    <n v="15989976"/>
    <n v="3254334296.3998218"/>
    <n v="1584.9936374900001"/>
    <n v="0.23406667"/>
    <n v="0.2341019"/>
    <n v="2.5089499999999998E-3"/>
    <n v="45.878969689999998"/>
    <n v="203.52340398999999"/>
    <n v="7.0565699999999999E-3"/>
    <n v="34.547280559999997"/>
    <n v="7.7877708700000001"/>
  </r>
  <r>
    <x v="3"/>
    <x v="6"/>
    <x v="0"/>
    <n v="4197072"/>
    <n v="68320725"/>
    <n v="31423084"/>
    <n v="3701553113.279449"/>
    <n v="881.93700591000004"/>
    <n v="0.47846631000000001"/>
    <n v="0.47853832000000002"/>
    <n v="2.8537300000000001E-3"/>
    <n v="54.179067000000003"/>
    <n v="117.79725737"/>
    <n v="6.7966900000000002E-3"/>
    <n v="16.2781874"/>
    <n v="7.4869061099999996"/>
  </r>
  <r>
    <x v="4"/>
    <x v="6"/>
    <x v="2"/>
    <n v="2467520"/>
    <n v="80646855"/>
    <n v="14912036"/>
    <n v="1892907019.5198879"/>
    <n v="767.12935234999998"/>
    <n v="0.28129734000000001"/>
    <n v="0.28133966999999999"/>
    <n v="1.4593500000000001E-3"/>
    <n v="23.4715542"/>
    <n v="126.93820417000001"/>
    <n v="8.0229199999999994E-3"/>
    <n v="32.68336412"/>
    <n v="6.0433291699999998"/>
  </r>
  <r>
    <x v="5"/>
    <x v="6"/>
    <x v="0"/>
    <n v="4197336"/>
    <n v="354034237"/>
    <n v="51068482"/>
    <n v="11037126528.559031"/>
    <n v="2629.5551579799999"/>
    <n v="0.47849639999999999"/>
    <n v="0.47856841999999999"/>
    <n v="8.5091300000000002E-3"/>
    <n v="31.17530841"/>
    <n v="216.12403735000001"/>
    <n v="3.5220069999999999E-2"/>
    <n v="84.347366289999997"/>
    <n v="12.166879679999999"/>
  </r>
  <r>
    <x v="6"/>
    <x v="6"/>
    <x v="0"/>
    <n v="4701664"/>
    <n v="294054809"/>
    <n v="133071931"/>
    <n v="27027987361.793423"/>
    <n v="5748.6003597400004"/>
    <n v="0.53598981000000001"/>
    <n v="0.53607048000000002"/>
    <n v="2.0837370000000001E-2"/>
    <n v="91.914794580000006"/>
    <n v="203.10810275"/>
    <n v="2.9253189999999998E-2"/>
    <n v="62.542710190000001"/>
    <n v="28.303156210000001"/>
  </r>
  <r>
    <x v="7"/>
    <x v="6"/>
    <x v="3"/>
    <n v="2354352"/>
    <n v="109531256"/>
    <n v="41615543"/>
    <n v="7118514033.8392229"/>
    <n v="3023.5555404800002"/>
    <n v="0.26839617999999998"/>
    <n v="0.26843657999999998"/>
    <n v="5.4880600000000003E-3"/>
    <n v="64.990709629999998"/>
    <n v="171.05421404000001"/>
    <n v="1.0896400000000001E-2"/>
    <n v="46.522888539999997"/>
    <n v="17.676007330000001"/>
  </r>
  <r>
    <x v="8"/>
    <x v="6"/>
    <x v="2"/>
    <n v="3545432"/>
    <n v="143063063"/>
    <n v="67267908"/>
    <n v="10966745999.438974"/>
    <n v="3093.2044386799998"/>
    <n v="0.40417933"/>
    <n v="0.40424016000000002"/>
    <n v="8.4548699999999997E-3"/>
    <n v="76.656726079999999"/>
    <n v="163.03087550000001"/>
    <n v="1.423221E-2"/>
    <n v="40.351376799999997"/>
    <n v="18.97312045"/>
  </r>
  <r>
    <x v="0"/>
    <x v="7"/>
    <x v="0"/>
    <n v="3131216"/>
    <n v="50060107"/>
    <n v="22259143"/>
    <n v="3630429460.2395525"/>
    <n v="1159.43117953"/>
    <n v="0.35675469999999998"/>
    <n v="0.35679404999999997"/>
    <n v="2.61766E-3"/>
    <n v="72.521408609999995"/>
    <n v="163.09834635000001"/>
    <n v="5.1326999999999996E-3"/>
    <n v="15.98743325"/>
    <n v="7.1087856199999999"/>
  </r>
  <r>
    <x v="1"/>
    <x v="7"/>
    <x v="1"/>
    <n v="8775976"/>
    <n v="9753174753"/>
    <s v="-"/>
    <n v="1386897151127.8235"/>
    <n v="158033.38011952001"/>
    <n v="0.99988971000000004"/>
    <n v="1"/>
    <n v="1"/>
    <n v="142.19955924999999"/>
    <s v="-"/>
    <n v="1"/>
    <n v="1111.3492963799999"/>
    <s v="-"/>
  </r>
  <r>
    <x v="2"/>
    <x v="7"/>
    <x v="2"/>
    <n v="2322672"/>
    <n v="81620827"/>
    <n v="19343901"/>
    <n v="3790362397.3597655"/>
    <n v="1631.89739979"/>
    <n v="0.26463333999999999"/>
    <n v="0.26466253000000001"/>
    <n v="2.7329799999999999E-3"/>
    <n v="46.438666789999999"/>
    <n v="195.94611979000001"/>
    <n v="8.3686400000000001E-3"/>
    <n v="35.140918390000003"/>
    <n v="8.3282965799999999"/>
  </r>
  <r>
    <x v="3"/>
    <x v="7"/>
    <x v="0"/>
    <n v="4289120"/>
    <n v="70491348"/>
    <n v="33790012"/>
    <n v="3907767061.4393811"/>
    <n v="911.08830282999998"/>
    <n v="0.48868033999999999"/>
    <n v="0.48873423999999999"/>
    <n v="2.8176299999999998E-3"/>
    <n v="55.436123709999997"/>
    <n v="115.64858433000001"/>
    <n v="7.2275300000000002E-3"/>
    <n v="16.4349208"/>
    <n v="7.8780757100000001"/>
  </r>
  <r>
    <x v="4"/>
    <x v="7"/>
    <x v="2"/>
    <n v="3028432"/>
    <n v="96923282"/>
    <n v="21448403"/>
    <n v="2850888013.59972"/>
    <n v="941.37428663000003"/>
    <n v="0.34504402000000001"/>
    <n v="0.34508207000000002"/>
    <n v="2.0555899999999999E-3"/>
    <n v="29.41386176"/>
    <n v="132.91842940999999"/>
    <n v="9.9376099999999995E-3"/>
    <n v="32.00444383"/>
    <n v="7.0823458500000003"/>
  </r>
  <r>
    <x v="5"/>
    <x v="7"/>
    <x v="0"/>
    <n v="4263072"/>
    <n v="321053166"/>
    <n v="52962430"/>
    <n v="11163786759.83897"/>
    <n v="2618.7187924200002"/>
    <n v="0.48571257000000001"/>
    <n v="0.48576614000000001"/>
    <n v="8.0494699999999995E-3"/>
    <n v="34.772392699999997"/>
    <n v="210.78690802"/>
    <n v="3.2917809999999999E-2"/>
    <n v="75.310284659999994"/>
    <n v="12.42353625"/>
  </r>
  <r>
    <x v="6"/>
    <x v="7"/>
    <x v="0"/>
    <n v="4895088"/>
    <n v="289387771"/>
    <n v="140089558"/>
    <n v="25934112352.751183"/>
    <n v="5297.9869519699996"/>
    <n v="0.55772122999999996"/>
    <n v="0.55778274999999999"/>
    <n v="1.8699380000000002E-2"/>
    <n v="89.617167460000005"/>
    <n v="185.12523568"/>
    <n v="2.9671139999999999E-2"/>
    <n v="59.117991590000003"/>
    <n v="28.6183941"/>
  </r>
  <r>
    <x v="7"/>
    <x v="7"/>
    <x v="3"/>
    <n v="2517328"/>
    <n v="104617430"/>
    <n v="43239708"/>
    <n v="6638622058.6391935"/>
    <n v="2637.1700702600001"/>
    <n v="0.28681145000000002"/>
    <n v="0.28684307999999997"/>
    <n v="4.7866699999999998E-3"/>
    <n v="63.456176169999999"/>
    <n v="153.53068605999999"/>
    <n v="1.07265E-2"/>
    <n v="41.558918759999997"/>
    <n v="17.176827240000001"/>
  </r>
  <r>
    <x v="8"/>
    <x v="7"/>
    <x v="2"/>
    <n v="3727064"/>
    <n v="149985317"/>
    <n v="72893642"/>
    <n v="11427920996.79887"/>
    <n v="3066.1992916700001"/>
    <n v="0.42464256"/>
    <n v="0.42468939999999999"/>
    <n v="8.2399199999999995E-3"/>
    <n v="76.193598420000001"/>
    <n v="156.77527828000001"/>
    <n v="1.53781E-2"/>
    <n v="40.24221661"/>
    <n v="19.557925999999998"/>
  </r>
  <r>
    <x v="0"/>
    <x v="8"/>
    <x v="0"/>
    <n v="3354032"/>
    <n v="53328711"/>
    <n v="26871529"/>
    <n v="4389984780.7193375"/>
    <n v="1308.8678881799999"/>
    <n v="0.37872373999999998"/>
    <n v="0.37874632000000003"/>
    <n v="2.79445E-3"/>
    <n v="82.319349090000003"/>
    <n v="163.36937282"/>
    <n v="4.7739200000000001E-3"/>
    <n v="15.899881410000001"/>
    <n v="8.0117090799999993"/>
  </r>
  <r>
    <x v="1"/>
    <x v="8"/>
    <x v="1"/>
    <n v="8855616"/>
    <n v="11170850511"/>
    <s v="-"/>
    <n v="1570965422774.8928"/>
    <n v="177397.64492666"/>
    <n v="0.99994037999999996"/>
    <n v="1"/>
    <n v="1"/>
    <n v="140.63078019"/>
    <s v="-"/>
    <n v="1"/>
    <n v="1261.44251411"/>
    <s v="-"/>
  </r>
  <r>
    <x v="2"/>
    <x v="8"/>
    <x v="2"/>
    <n v="2470160"/>
    <n v="90186554"/>
    <n v="20738924"/>
    <n v="4060737353.1997318"/>
    <n v="1643.91673139"/>
    <n v="0.27892049000000002"/>
    <n v="0.27893711999999998"/>
    <n v="2.58487E-3"/>
    <n v="45.025973290000003"/>
    <n v="195.80270263"/>
    <n v="8.0733799999999998E-3"/>
    <n v="36.510409690000003"/>
    <n v="8.3957816199999993"/>
  </r>
  <r>
    <x v="3"/>
    <x v="8"/>
    <x v="0"/>
    <n v="4315080"/>
    <n v="78339101"/>
    <n v="37502599"/>
    <n v="4333119385.7592688"/>
    <n v="1004.18054492"/>
    <n v="0.48724139999999999"/>
    <n v="0.48727045000000002"/>
    <n v="2.7582499999999999E-3"/>
    <n v="55.312344860000003"/>
    <n v="115.54184185"/>
    <n v="7.0128100000000004E-3"/>
    <n v="18.154727439999998"/>
    <n v="8.6910553700000008"/>
  </r>
  <r>
    <x v="4"/>
    <x v="8"/>
    <x v="2"/>
    <n v="2841432"/>
    <n v="82013760"/>
    <n v="19418111"/>
    <n v="2650158133.9197631"/>
    <n v="932.68398959000001"/>
    <n v="0.32084301999999998"/>
    <n v="0.32086215000000001"/>
    <n v="1.6869599999999999E-3"/>
    <n v="32.313579099999998"/>
    <n v="136.47868020000001"/>
    <n v="7.3417700000000001E-3"/>
    <n v="28.863530919999999"/>
    <n v="6.8339171199999997"/>
  </r>
  <r>
    <x v="5"/>
    <x v="8"/>
    <x v="0"/>
    <n v="4256824"/>
    <n v="384847817"/>
    <n v="55743288"/>
    <n v="12443422666.399052"/>
    <n v="2923.17057656"/>
    <n v="0.48066336999999998"/>
    <n v="0.48069202999999999"/>
    <n v="7.9208799999999999E-3"/>
    <n v="32.333359080000001"/>
    <n v="223.22728000999999"/>
    <n v="3.4451080000000002E-2"/>
    <n v="90.407265420000002"/>
    <n v="13.09504186"/>
  </r>
  <r>
    <x v="6"/>
    <x v="8"/>
    <x v="0"/>
    <n v="4997256"/>
    <n v="350331025"/>
    <n v="161117506"/>
    <n v="31747932724.689396"/>
    <n v="6353.0731114600003"/>
    <n v="0.56426995999999996"/>
    <n v="0.56430360000000002"/>
    <n v="2.0209189999999998E-2"/>
    <n v="90.622669700000003"/>
    <n v="197.04831282999999"/>
    <n v="3.1361180000000002E-2"/>
    <n v="70.104678359999994"/>
    <n v="32.241195169999997"/>
  </r>
  <r>
    <x v="7"/>
    <x v="8"/>
    <x v="3"/>
    <n v="2675200"/>
    <n v="127903224"/>
    <n v="51214808"/>
    <n v="8987517091.5189724"/>
    <n v="3359.56829079"/>
    <n v="0.30207277999999999"/>
    <n v="0.30209079"/>
    <n v="5.7210200000000003E-3"/>
    <n v="70.268104219999998"/>
    <n v="175.48669052"/>
    <n v="1.144973E-2"/>
    <n v="47.8107148"/>
    <n v="19.144291119999998"/>
  </r>
  <r>
    <x v="8"/>
    <x v="8"/>
    <x v="2"/>
    <n v="3585648"/>
    <n v="160081624"/>
    <n v="75521978"/>
    <n v="11904921007.758902"/>
    <n v="3320.1588688500001"/>
    <n v="0.40487688999999999"/>
    <n v="0.40490103"/>
    <n v="7.57809E-3"/>
    <n v="74.367817709999997"/>
    <n v="157.63518461999999"/>
    <n v="1.4330300000000001E-2"/>
    <n v="44.645102829999999"/>
    <n v="21.062295689999999"/>
  </r>
  <r>
    <x v="0"/>
    <x v="9"/>
    <x v="0"/>
    <n v="3188592"/>
    <n v="51217491"/>
    <n v="23435042"/>
    <n v="3951825809.3594809"/>
    <n v="1239.3638977200001"/>
    <n v="0.36414616"/>
    <n v="0.36419374999999998"/>
    <n v="2.7498900000000001E-3"/>
    <n v="77.157739550000002"/>
    <n v="168.62891655999999"/>
    <n v="5.2066400000000002E-3"/>
    <n v="16.062729480000002"/>
    <n v="7.34965226"/>
  </r>
  <r>
    <x v="1"/>
    <x v="9"/>
    <x v="1"/>
    <n v="8755208"/>
    <n v="9836960407"/>
    <s v="-"/>
    <n v="1437084475577.4998"/>
    <n v="164140.52933722001"/>
    <n v="0.99986934999999999"/>
    <n v="1"/>
    <n v="1"/>
    <n v="146.09029783"/>
    <s v="-"/>
    <n v="1"/>
    <n v="1123.55530641"/>
    <s v="-"/>
  </r>
  <r>
    <x v="2"/>
    <x v="9"/>
    <x v="2"/>
    <n v="2419736"/>
    <n v="75760485"/>
    <n v="18132934"/>
    <n v="3558813244.7997937"/>
    <n v="1470.7444303"/>
    <n v="0.27634065000000002"/>
    <n v="0.27637676"/>
    <n v="2.4764100000000001E-3"/>
    <n v="46.974531040000002"/>
    <n v="196.26240372000001"/>
    <n v="7.7016200000000002E-3"/>
    <n v="31.30940103"/>
    <n v="7.4937655000000003"/>
  </r>
  <r>
    <x v="3"/>
    <x v="9"/>
    <x v="0"/>
    <n v="4414872"/>
    <n v="78221450"/>
    <n v="35569482"/>
    <n v="4345788222.1593208"/>
    <n v="984.35203152999998"/>
    <n v="0.50419079"/>
    <n v="0.50425666999999996"/>
    <n v="3.02403E-3"/>
    <n v="55.557500400000002"/>
    <n v="122.17743886"/>
    <n v="7.9517900000000002E-3"/>
    <n v="17.717716320000001"/>
    <n v="8.0567414100000008"/>
  </r>
  <r>
    <x v="4"/>
    <x v="9"/>
    <x v="2"/>
    <n v="2416920"/>
    <n v="44255598"/>
    <n v="12905384"/>
    <n v="1711965067.1199248"/>
    <n v="708.32508611000003"/>
    <n v="0.27601904999999999"/>
    <n v="0.27605511999999999"/>
    <n v="1.1912800000000001E-3"/>
    <n v="38.6835825"/>
    <n v="132.65510563000001"/>
    <n v="4.4989100000000001E-3"/>
    <n v="18.310741669999999"/>
    <n v="5.3395991299999999"/>
  </r>
  <r>
    <x v="5"/>
    <x v="9"/>
    <x v="0"/>
    <n v="4263600"/>
    <n v="358423201"/>
    <n v="52185066"/>
    <n v="11535943938.639164"/>
    <n v="2705.6815692499999"/>
    <n v="0.48691509999999999"/>
    <n v="0.48697871999999998"/>
    <n v="8.0273199999999992E-3"/>
    <n v="32.185260069999998"/>
    <n v="221.05833898"/>
    <n v="3.6436379999999997E-2"/>
    <n v="84.065860060000006"/>
    <n v="12.239672029999999"/>
  </r>
  <r>
    <x v="6"/>
    <x v="9"/>
    <x v="0"/>
    <n v="4702280"/>
    <n v="276192384"/>
    <n v="131566083"/>
    <n v="25453134708.347977"/>
    <n v="5412.9347270600001"/>
    <n v="0.53701359000000004"/>
    <n v="0.53708376000000002"/>
    <n v="1.7711649999999999E-2"/>
    <n v="92.157264889999993"/>
    <n v="193.46273912999999"/>
    <n v="2.8077000000000001E-2"/>
    <n v="58.735843920000001"/>
    <n v="27.979210630000001"/>
  </r>
  <r>
    <x v="7"/>
    <x v="9"/>
    <x v="3"/>
    <n v="3517272"/>
    <n v="169091190"/>
    <n v="66061110"/>
    <n v="11064495089.119453"/>
    <n v="3145.7604328399998"/>
    <n v="0.40168234000000003"/>
    <n v="0.40173482999999999"/>
    <n v="7.6992700000000002E-3"/>
    <n v="65.435077489999998"/>
    <n v="167.488786"/>
    <n v="1.7189369999999999E-2"/>
    <n v="48.074527510000003"/>
    <n v="18.78191674"/>
  </r>
  <r>
    <x v="8"/>
    <x v="9"/>
    <x v="2"/>
    <n v="3554496"/>
    <n v="140465697"/>
    <n v="67393967"/>
    <n v="10412955001.678942"/>
    <n v="2929.5165901700002"/>
    <n v="0.40593342999999998"/>
    <n v="0.40598646999999999"/>
    <n v="7.2458899999999996E-3"/>
    <n v="74.131658040000005"/>
    <n v="154.50871229000001"/>
    <n v="1.427938E-2"/>
    <n v="39.517753519999999"/>
    <n v="18.96020326"/>
  </r>
  <r>
    <x v="0"/>
    <x v="10"/>
    <x v="0"/>
    <n v="2999216"/>
    <n v="51838847"/>
    <n v="22948717"/>
    <n v="3851880838.0794907"/>
    <n v="1284.29590869"/>
    <n v="0.33999042000000002"/>
    <n v="0.34001417"/>
    <n v="2.4871799999999999E-3"/>
    <n v="74.304909159999994"/>
    <n v="167.84733159000001"/>
    <n v="4.8361999999999997E-3"/>
    <n v="17.284132679999999"/>
    <n v="7.6515718000000001"/>
  </r>
  <r>
    <x v="1"/>
    <x v="10"/>
    <x v="1"/>
    <n v="8820856"/>
    <n v="10718932052"/>
    <s v="-"/>
    <n v="1548692820876.929"/>
    <n v="175571.71558824999"/>
    <n v="0.99993016999999995"/>
    <n v="1"/>
    <n v="1"/>
    <n v="144.48200747999999"/>
    <s v="-"/>
    <n v="1"/>
    <n v="1215.1804826600001"/>
    <s v="-"/>
  </r>
  <r>
    <x v="2"/>
    <x v="10"/>
    <x v="2"/>
    <n v="2289848"/>
    <n v="74438652"/>
    <n v="17880284"/>
    <n v="3395235278.1597733"/>
    <n v="1482.7339099200001"/>
    <n v="0.25957662999999997"/>
    <n v="0.25959475999999998"/>
    <n v="2.1923200000000002E-3"/>
    <n v="45.611187170000001"/>
    <n v="189.88710522"/>
    <n v="6.9446000000000004E-3"/>
    <n v="32.508119209999997"/>
    <n v="7.8085023600000003"/>
  </r>
  <r>
    <x v="3"/>
    <x v="10"/>
    <x v="0"/>
    <n v="4438368"/>
    <n v="83444896"/>
    <n v="38568612"/>
    <n v="4626090513.4392347"/>
    <n v="1042.29539178"/>
    <n v="0.50313235999999995"/>
    <n v="0.50316749000000005"/>
    <n v="2.98709E-3"/>
    <n v="55.438866949999998"/>
    <n v="119.94443909"/>
    <n v="7.7848099999999996E-3"/>
    <n v="18.800806170000001"/>
    <n v="8.6898183800000002"/>
  </r>
  <r>
    <x v="4"/>
    <x v="10"/>
    <x v="2"/>
    <n v="2499200"/>
    <n v="47334412"/>
    <n v="13099497"/>
    <n v="1715724109.4399309"/>
    <n v="686.50932676000002"/>
    <n v="0.28330873000000001"/>
    <n v="0.28332850999999998"/>
    <n v="1.1078500000000001E-3"/>
    <n v="36.246866130000001"/>
    <n v="130.97633556"/>
    <n v="4.41596E-3"/>
    <n v="18.9398257"/>
    <n v="5.2414760600000001"/>
  </r>
  <r>
    <x v="5"/>
    <x v="10"/>
    <x v="0"/>
    <n v="4177008"/>
    <n v="377448407"/>
    <n v="52752205"/>
    <n v="11733863288.398985"/>
    <n v="2809.15509101"/>
    <n v="0.47350465000000003"/>
    <n v="0.47353772"/>
    <n v="7.5766200000000001E-3"/>
    <n v="31.087330290000001"/>
    <n v="222.43360615"/>
    <n v="3.5213250000000001E-2"/>
    <n v="90.363343020000002"/>
    <n v="12.62918468"/>
  </r>
  <r>
    <x v="6"/>
    <x v="10"/>
    <x v="0"/>
    <n v="4828384"/>
    <n v="327847404"/>
    <n v="153530610"/>
    <n v="30264987710.362854"/>
    <n v="6268.1401707799996"/>
    <n v="0.54734448000000002"/>
    <n v="0.5473827"/>
    <n v="1.9542279999999999E-2"/>
    <n v="92.314251560000002"/>
    <n v="197.12673426000001"/>
    <n v="3.0585830000000001E-2"/>
    <n v="67.900026969999999"/>
    <n v="31.797514400000001"/>
  </r>
  <r>
    <x v="7"/>
    <x v="10"/>
    <x v="3"/>
    <n v="2784144"/>
    <n v="127559448"/>
    <n v="49526762"/>
    <n v="8359773072.6391201"/>
    <n v="3002.6367431600002"/>
    <n v="0.31560990999999999"/>
    <n v="0.31563194999999999"/>
    <n v="5.3979500000000003E-3"/>
    <n v="65.536290840000007"/>
    <n v="168.79304822"/>
    <n v="1.190039E-2"/>
    <n v="45.816397369999997"/>
    <n v="17.788864969999999"/>
  </r>
  <r>
    <x v="8"/>
    <x v="10"/>
    <x v="2"/>
    <n v="3500024"/>
    <n v="146239999"/>
    <n v="69704497"/>
    <n v="10792319999.118959"/>
    <n v="3083.49885576"/>
    <n v="0.3967619"/>
    <n v="0.39678961000000001"/>
    <n v="6.9686599999999998E-3"/>
    <n v="73.798687610000002"/>
    <n v="154.82960814"/>
    <n v="1.364315E-2"/>
    <n v="41.782570339999999"/>
    <n v="19.915434090000002"/>
  </r>
  <r>
    <x v="0"/>
    <x v="11"/>
    <x v="0"/>
    <n v="2994816"/>
    <n v="46012356"/>
    <n v="21174087"/>
    <n v="3440109741.199563"/>
    <n v="1148.6881802400001"/>
    <n v="0.33889662999999998"/>
    <n v="0.33895402000000002"/>
    <n v="2.4089900000000002E-3"/>
    <n v="74.764912129999999"/>
    <n v="162.46791041"/>
    <n v="4.7287700000000002E-3"/>
    <n v="15.36400094"/>
    <n v="7.0702465300000004"/>
  </r>
  <r>
    <x v="1"/>
    <x v="11"/>
    <x v="1"/>
    <n v="8835464"/>
    <n v="9730292252"/>
    <s v="-"/>
    <n v="1428030707223.0969"/>
    <n v="161624.8685098"/>
    <n v="0.99983071000000001"/>
    <n v="1"/>
    <n v="1"/>
    <n v="146.76133772"/>
    <s v="-"/>
    <n v="1"/>
    <n v="1101.27688276"/>
    <s v="-"/>
  </r>
  <r>
    <x v="2"/>
    <x v="11"/>
    <x v="2"/>
    <n v="2059464"/>
    <n v="68887850"/>
    <n v="15854164"/>
    <n v="3056682251.9198465"/>
    <n v="1484.21251934"/>
    <n v="0.23305118999999999"/>
    <n v="0.23309063999999999"/>
    <n v="2.1404900000000001E-3"/>
    <n v="44.371862980000003"/>
    <n v="192.79996908000001"/>
    <n v="7.0797300000000002E-3"/>
    <n v="33.44940734"/>
    <n v="7.6981989500000001"/>
  </r>
  <r>
    <x v="3"/>
    <x v="11"/>
    <x v="0"/>
    <n v="4432120"/>
    <n v="74210553"/>
    <n v="34555530"/>
    <n v="4084416297.2793636"/>
    <n v="921.54912260000003"/>
    <n v="0.50154352000000002"/>
    <n v="0.50162843999999995"/>
    <n v="2.86017E-3"/>
    <n v="55.038213910000003"/>
    <n v="118.19862895999999"/>
    <n v="7.6267499999999998E-3"/>
    <n v="16.74380502"/>
    <n v="7.7966143199999998"/>
  </r>
  <r>
    <x v="4"/>
    <x v="11"/>
    <x v="2"/>
    <n v="2389640"/>
    <n v="48782916"/>
    <n v="12341206"/>
    <n v="1656372106.3999362"/>
    <n v="693.14712943999996"/>
    <n v="0.27041426000000002"/>
    <n v="0.27046005000000001"/>
    <n v="1.1599E-3"/>
    <n v="33.95393791"/>
    <n v="134.2147659"/>
    <n v="5.0135099999999997E-3"/>
    <n v="20.414336949999999"/>
    <n v="5.1644625299999998"/>
  </r>
  <r>
    <x v="5"/>
    <x v="11"/>
    <x v="0"/>
    <n v="4115232"/>
    <n v="348708086"/>
    <n v="48123980"/>
    <n v="10716020180.799074"/>
    <n v="2603.9893208399999"/>
    <n v="0.46568412999999997"/>
    <n v="0.46576297999999999"/>
    <n v="7.50405E-3"/>
    <n v="30.730632870000001"/>
    <n v="222.67526839999999"/>
    <n v="3.583737E-2"/>
    <n v="84.735948379999996"/>
    <n v="11.69411107"/>
  </r>
  <r>
    <x v="6"/>
    <x v="11"/>
    <x v="0"/>
    <n v="4825128"/>
    <n v="299390453"/>
    <n v="139397853"/>
    <n v="26749380800.591007"/>
    <n v="5543.7660515099997"/>
    <n v="0.54601672999999995"/>
    <n v="0.54610917999999997"/>
    <n v="1.8731660000000001E-2"/>
    <n v="89.346138199999999"/>
    <n v="191.89234445"/>
    <n v="3.076891E-2"/>
    <n v="62.048188799999998"/>
    <n v="28.889980300000001"/>
  </r>
  <r>
    <x v="7"/>
    <x v="11"/>
    <x v="3"/>
    <n v="2615536"/>
    <n v="110924687"/>
    <n v="44676328"/>
    <n v="7711251100.9591112"/>
    <n v="2948.24888702"/>
    <n v="0.29597689999999999"/>
    <n v="0.29602700999999998"/>
    <n v="5.3999199999999999E-3"/>
    <n v="69.517898040000006"/>
    <n v="172.60261818999999"/>
    <n v="1.1399930000000001E-2"/>
    <n v="42.409925639999997"/>
    <n v="17.081136529999998"/>
  </r>
  <r>
    <x v="8"/>
    <x v="11"/>
    <x v="2"/>
    <n v="3621024"/>
    <n v="138639532"/>
    <n v="67419999"/>
    <n v="10395045001.439058"/>
    <n v="2870.7473359599999"/>
    <n v="0.40975900999999998"/>
    <n v="0.40982838999999999"/>
    <n v="7.2792899999999999E-3"/>
    <n v="74.978938790000001"/>
    <n v="154.18340531999999"/>
    <n v="1.4248240000000001E-2"/>
    <n v="38.287382860000001"/>
    <n v="18.619042239999999"/>
  </r>
  <r>
    <x v="9"/>
    <x v="0"/>
    <x v="2"/>
    <n v="1118480"/>
    <n v="16483622"/>
    <n v="3559005"/>
    <n v="581085076.88000309"/>
    <n v="519.53103934000001"/>
    <n v="0.13088654999999999"/>
    <n v="0.13092834"/>
    <n v="5.1725999999999996E-4"/>
    <n v="35.252268319999999"/>
    <n v="163.27177323000001"/>
    <n v="1.5382200000000001E-3"/>
    <n v="14.737520849999999"/>
    <n v="3.1820015700000002"/>
  </r>
  <r>
    <x v="9"/>
    <x v="1"/>
    <x v="2"/>
    <n v="1076856"/>
    <n v="12283990"/>
    <n v="3137610"/>
    <n v="481203063.43999863"/>
    <n v="446.85924899999998"/>
    <n v="0.1260338"/>
    <n v="0.12608444999999999"/>
    <n v="4.6129999999999999E-4"/>
    <n v="39.173187849999998"/>
    <n v="153.36611343000001"/>
    <n v="1.2137599999999999E-3"/>
    <n v="11.40727302"/>
    <n v="2.9136765499999999"/>
  </r>
  <r>
    <x v="9"/>
    <x v="2"/>
    <x v="2"/>
    <n v="1111264"/>
    <n v="12196116"/>
    <n v="3632807"/>
    <n v="473769097.1199975"/>
    <n v="426.33352392"/>
    <n v="0.13033606"/>
    <n v="0.13041412999999999"/>
    <n v="4.4806000000000002E-4"/>
    <n v="38.84589879"/>
    <n v="130.41404926000001"/>
    <n v="1.1816699999999999E-3"/>
    <n v="10.97499446"/>
    <n v="3.2690766600000001"/>
  </r>
  <r>
    <x v="9"/>
    <x v="3"/>
    <x v="2"/>
    <n v="1135640"/>
    <n v="13293417"/>
    <n v="3271521"/>
    <n v="473124101.99999696"/>
    <n v="416.61450988000001"/>
    <n v="0.13314418"/>
    <n v="0.13320878"/>
    <n v="4.6243E-4"/>
    <n v="35.59085614"/>
    <n v="144.61898253999999"/>
    <n v="1.36666E-3"/>
    <n v="11.70566137"/>
    <n v="2.8807733400000002"/>
  </r>
  <r>
    <x v="9"/>
    <x v="4"/>
    <x v="2"/>
    <n v="1174888"/>
    <n v="12888467"/>
    <n v="3096535"/>
    <n v="398166042.56000066"/>
    <n v="338.89702045000001"/>
    <n v="0.13469396"/>
    <n v="0.13470483"/>
    <n v="3.9006000000000002E-4"/>
    <n v="30.893204659999999"/>
    <n v="128.58437473999999"/>
    <n v="1.27651E-3"/>
    <n v="10.96995356"/>
    <n v="2.6356003299999999"/>
  </r>
  <r>
    <x v="9"/>
    <x v="5"/>
    <x v="2"/>
    <n v="1068584"/>
    <n v="12934480"/>
    <n v="2904545"/>
    <n v="373218043.44000196"/>
    <n v="349.26411347999999"/>
    <n v="0.12177950999999999"/>
    <n v="0.12179172000000001"/>
    <n v="3.3745999999999998E-4"/>
    <n v="28.854506440000002"/>
    <n v="128.49450755000001"/>
    <n v="1.2282599999999999E-3"/>
    <n v="12.10431771"/>
    <n v="2.7181248500000001"/>
  </r>
  <r>
    <x v="9"/>
    <x v="6"/>
    <x v="2"/>
    <n v="1152360"/>
    <n v="13467156"/>
    <n v="2931316"/>
    <n v="375954028.56000173"/>
    <n v="326.24703092999999"/>
    <n v="0.13136907"/>
    <n v="0.13138884000000001"/>
    <n v="2.8983999999999998E-4"/>
    <n v="27.916364640000001"/>
    <n v="128.25434661"/>
    <n v="1.3397400000000001E-3"/>
    <n v="11.686587250000001"/>
    <n v="2.5437502900000002"/>
  </r>
  <r>
    <x v="9"/>
    <x v="7"/>
    <x v="2"/>
    <n v="1225400"/>
    <n v="14783534"/>
    <n v="3463334"/>
    <n v="483195020.00000286"/>
    <n v="394.31615799000002"/>
    <n v="0.13961578999999999"/>
    <n v="0.13963118999999999"/>
    <n v="3.4840000000000001E-4"/>
    <n v="32.684675009999999"/>
    <n v="139.51729682000001"/>
    <n v="1.5157700000000001E-3"/>
    <n v="12.064252059999999"/>
    <n v="2.8262886900000002"/>
  </r>
  <r>
    <x v="9"/>
    <x v="8"/>
    <x v="2"/>
    <n v="1139688"/>
    <n v="15467999"/>
    <n v="3099364"/>
    <n v="422358048.63999933"/>
    <n v="370.59094124000001"/>
    <n v="0.12868895999999999"/>
    <n v="0.12869664"/>
    <n v="2.6885E-4"/>
    <n v="27.305279680000002"/>
    <n v="136.27251075999999"/>
    <n v="1.3846799999999999E-3"/>
    <n v="13.57213497"/>
    <n v="2.7194842100000001"/>
  </r>
  <r>
    <x v="9"/>
    <x v="9"/>
    <x v="2"/>
    <n v="966416"/>
    <n v="12557812"/>
    <n v="2385222"/>
    <n v="333084042.72000092"/>
    <n v="344.65907303"/>
    <n v="0.11036741999999999"/>
    <n v="0.11038183999999999"/>
    <n v="2.3178000000000001E-4"/>
    <n v="26.52405057"/>
    <n v="139.64485773999999"/>
    <n v="1.27659E-3"/>
    <n v="12.994209619999999"/>
    <n v="2.4681114599999998"/>
  </r>
  <r>
    <x v="9"/>
    <x v="10"/>
    <x v="2"/>
    <n v="922416"/>
    <n v="14285791"/>
    <n v="2437396"/>
    <n v="319062032.08000052"/>
    <n v="345.89819785999998"/>
    <n v="0.10456486"/>
    <n v="0.10457216"/>
    <n v="2.0602000000000001E-4"/>
    <n v="22.334222870000001"/>
    <n v="130.90283771"/>
    <n v="1.3327600000000001E-3"/>
    <n v="15.48736214"/>
    <n v="2.6424041200000001"/>
  </r>
  <r>
    <x v="9"/>
    <x v="11"/>
    <x v="2"/>
    <n v="798160"/>
    <n v="12674468"/>
    <n v="2230157"/>
    <n v="296844052.56000131"/>
    <n v="371.91045975999998"/>
    <n v="9.0320650000000002E-2"/>
    <n v="9.0335949999999998E-2"/>
    <n v="2.0787E-4"/>
    <n v="23.420631400000001"/>
    <n v="133.10457059000001"/>
    <n v="1.30258E-3"/>
    <n v="15.879608599999999"/>
    <n v="2.79412238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9AAB4-CED6-4AE9-B8FE-213E2D7057E9}" name="Kontingenční tabul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A14" firstHeaderRow="1" firstDataRow="1" firstDataCol="1" rowPageCount="1" colPageCount="1"/>
  <pivotFields count="19">
    <pivotField axis="axisRow" multipleItemSelectionAllowed="1"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5">
        <item x="0"/>
        <item x="3"/>
        <item x="2"/>
        <item x="1"/>
        <item t="default"/>
      </items>
    </pivotField>
    <pivotField numFmtId="3" showAll="0"/>
    <pivotField numFmtId="3" showAll="0"/>
    <pivotField showAll="0"/>
    <pivotField numFmtId="3" showAll="0"/>
    <pivotField numFmtId="4" showAll="0"/>
    <pivotField numFmtId="165" showAll="0"/>
    <pivotField numFmtId="165" showAll="0"/>
    <pivotField numFmtId="165" showAll="0"/>
    <pivotField numFmtId="4" showAll="0"/>
    <pivotField showAll="0"/>
    <pivotField numFmtId="165" showAll="0"/>
    <pivotField numFmtId="4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44787-AEBC-4312-BA39-83D23EF119B9}" name="Tabulka1" displayName="Tabulka1" ref="A1:P121" totalsRowShown="0" headerRowDxfId="0" dataDxfId="1">
  <autoFilter ref="A1:P121" xr:uid="{0E044787-AEBC-4312-BA39-83D23EF119B9}"/>
  <tableColumns count="16">
    <tableColumn id="1" xr3:uid="{BF5E7D12-9736-4D70-8102-17F963EA2E85}" name="Media channel" dataDxfId="17"/>
    <tableColumn id="2" xr3:uid="{FF240295-DD08-401F-8726-F7A46DD7F7C2}" name="Month" dataDxfId="16"/>
    <tableColumn id="3" xr3:uid="{680B7277-7E04-416A-A18A-062ED7C2FE56}" name="Main focus" dataDxfId="15"/>
    <tableColumn id="4" xr3:uid="{6A66AAAB-E7A4-4416-9CE3-43AF6501F23D}" name="Real users" dataDxfId="14"/>
    <tableColumn id="5" xr3:uid="{3E1B102D-CABB-44C6-8F07-DFF782FC66DD}" name="Views" dataDxfId="13"/>
    <tableColumn id="6" xr3:uid="{8C830AC9-F409-4AF1-AC9E-B9F791B18104}" name="Visits" dataDxfId="12"/>
    <tableColumn id="7" xr3:uid="{04821670-E936-41E0-B3EC-754CD8EDB4E6}" name="Time [s]" dataDxfId="11"/>
    <tableColumn id="8" xr3:uid="{E47EE2FB-6DF5-46D4-8948-F0D20589EFB5}" name="ATS [s]" dataDxfId="10"/>
    <tableColumn id="9" xr3:uid="{5C7050D1-EDFB-40D5-9525-8B8B66BAB884}" name="Reach" dataDxfId="9"/>
    <tableColumn id="10" xr3:uid="{A14B3C5A-D30B-432F-9D9F-6174EF1D8366}" name="Audience share" dataDxfId="8"/>
    <tableColumn id="11" xr3:uid="{63108AE4-3A5C-472E-915A-7EE426C0AA90}" name="Share of time" dataDxfId="7"/>
    <tableColumn id="12" xr3:uid="{543AD3DE-23E7-4668-8248-A1AD3E0424A9}" name="Time per view [s]" dataDxfId="6"/>
    <tableColumn id="13" xr3:uid="{0EEE5D16-7C49-46C5-92DC-6D883361DD0E}" name="Time per visit [s]" dataDxfId="5"/>
    <tableColumn id="14" xr3:uid="{7BDBC901-987E-4960-B4C8-685CD6FC2AED}" name="Views share" dataDxfId="4"/>
    <tableColumn id="15" xr3:uid="{6EE1931A-4041-41F8-9637-EC64C3943F1E}" name="Views per real user" dataDxfId="3"/>
    <tableColumn id="16" xr3:uid="{19AB875B-74BA-4BF0-8DF9-C7B5F04444FC}" name="Visits per real user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/>
  </sheetViews>
  <sheetFormatPr defaultColWidth="15.7109375" defaultRowHeight="12.75" x14ac:dyDescent="0.2"/>
  <cols>
    <col min="1" max="11" width="15.7109375" style="4"/>
    <col min="12" max="12" width="16.5703125" style="4" customWidth="1"/>
    <col min="13" max="13" width="16" style="4" customWidth="1"/>
    <col min="14" max="14" width="15.7109375" style="4"/>
    <col min="15" max="15" width="18.28515625" style="4" customWidth="1"/>
    <col min="16" max="16" width="17.7109375" style="4" customWidth="1"/>
    <col min="17" max="16384" width="15.7109375" style="4"/>
  </cols>
  <sheetData>
    <row r="1" spans="1:16" x14ac:dyDescent="0.2">
      <c r="A1" s="10" t="s">
        <v>0</v>
      </c>
      <c r="B1" s="10" t="s">
        <v>1</v>
      </c>
      <c r="C1" s="10" t="s">
        <v>29</v>
      </c>
      <c r="D1" s="11" t="s">
        <v>2</v>
      </c>
      <c r="E1" s="10" t="s">
        <v>3</v>
      </c>
      <c r="F1" s="10" t="s">
        <v>4</v>
      </c>
      <c r="G1" s="10" t="s">
        <v>5</v>
      </c>
      <c r="H1" s="11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1" t="s">
        <v>13</v>
      </c>
      <c r="P1" s="10" t="s">
        <v>14</v>
      </c>
    </row>
    <row r="2" spans="1:16" x14ac:dyDescent="0.2">
      <c r="A2" s="3" t="s">
        <v>22</v>
      </c>
      <c r="B2" s="5">
        <v>45778</v>
      </c>
      <c r="C2" s="5" t="s">
        <v>30</v>
      </c>
      <c r="D2" s="6">
        <v>2779040</v>
      </c>
      <c r="E2" s="6">
        <v>61381552</v>
      </c>
      <c r="F2" s="6">
        <v>18722196</v>
      </c>
      <c r="G2" s="6">
        <v>3970585103.7595706</v>
      </c>
      <c r="H2" s="7">
        <v>1428.7614081700001</v>
      </c>
      <c r="I2" s="8">
        <v>0.32520828000000002</v>
      </c>
      <c r="J2" s="8">
        <v>0.32531212999999998</v>
      </c>
      <c r="K2" s="8">
        <v>3.5344600000000001E-3</v>
      </c>
      <c r="L2" s="7">
        <v>64.686945080000001</v>
      </c>
      <c r="M2" s="7">
        <v>212.07902390000001</v>
      </c>
      <c r="N2" s="8">
        <v>5.7280100000000004E-3</v>
      </c>
      <c r="O2" s="7">
        <v>22.087322360000002</v>
      </c>
      <c r="P2" s="7">
        <v>6.7369293900000002</v>
      </c>
    </row>
    <row r="3" spans="1:16" x14ac:dyDescent="0.2">
      <c r="A3" s="3" t="s">
        <v>15</v>
      </c>
      <c r="B3" s="5">
        <v>45778</v>
      </c>
      <c r="C3" s="5"/>
      <c r="D3" s="6">
        <v>8542688</v>
      </c>
      <c r="E3" s="6">
        <v>10716026643</v>
      </c>
      <c r="F3" s="6" t="s">
        <v>16</v>
      </c>
      <c r="G3" s="6">
        <v>1123391097451.0825</v>
      </c>
      <c r="H3" s="7">
        <v>131503.23381248</v>
      </c>
      <c r="I3" s="8">
        <v>0.99968075999999995</v>
      </c>
      <c r="J3" s="8">
        <v>1</v>
      </c>
      <c r="K3" s="8">
        <v>1</v>
      </c>
      <c r="L3" s="7">
        <v>104.83280182999999</v>
      </c>
      <c r="M3" s="3" t="s">
        <v>16</v>
      </c>
      <c r="N3" s="8">
        <v>1</v>
      </c>
      <c r="O3" s="7">
        <v>1254.4092260699999</v>
      </c>
      <c r="P3" s="7" t="s">
        <v>16</v>
      </c>
    </row>
    <row r="4" spans="1:16" x14ac:dyDescent="0.2">
      <c r="A4" s="3" t="s">
        <v>23</v>
      </c>
      <c r="B4" s="5">
        <v>45778</v>
      </c>
      <c r="C4" s="5" t="s">
        <v>31</v>
      </c>
      <c r="D4" s="6">
        <v>2611400</v>
      </c>
      <c r="E4" s="6">
        <v>94897078</v>
      </c>
      <c r="F4" s="6">
        <v>22004516</v>
      </c>
      <c r="G4" s="6">
        <v>4479246473.6796865</v>
      </c>
      <c r="H4" s="7">
        <v>1715.2663221600001</v>
      </c>
      <c r="I4" s="8">
        <v>0.30559074000000003</v>
      </c>
      <c r="J4" s="8">
        <v>0.30568833000000001</v>
      </c>
      <c r="K4" s="8">
        <v>3.9872500000000003E-3</v>
      </c>
      <c r="L4" s="7">
        <v>47.201099900000003</v>
      </c>
      <c r="M4" s="7">
        <v>203.56032558000001</v>
      </c>
      <c r="N4" s="8">
        <v>8.8556199999999998E-3</v>
      </c>
      <c r="O4" s="7">
        <v>36.339541359999998</v>
      </c>
      <c r="P4" s="7">
        <v>8.4263292300000003</v>
      </c>
    </row>
    <row r="5" spans="1:16" x14ac:dyDescent="0.2">
      <c r="A5" s="3" t="s">
        <v>19</v>
      </c>
      <c r="B5" s="5">
        <v>45778</v>
      </c>
      <c r="C5" s="5" t="s">
        <v>30</v>
      </c>
      <c r="D5" s="6">
        <v>4030928</v>
      </c>
      <c r="E5" s="6">
        <v>85821772</v>
      </c>
      <c r="F5" s="6">
        <v>25392606</v>
      </c>
      <c r="G5" s="6">
        <v>3874758657.4394393</v>
      </c>
      <c r="H5" s="7">
        <v>961.25722351000002</v>
      </c>
      <c r="I5" s="8">
        <v>0.47170646999999999</v>
      </c>
      <c r="J5" s="8">
        <v>0.47185709999999997</v>
      </c>
      <c r="K5" s="8">
        <v>3.4491600000000002E-3</v>
      </c>
      <c r="L5" s="7">
        <v>45.148900609999998</v>
      </c>
      <c r="M5" s="7">
        <v>152.59397439</v>
      </c>
      <c r="N5" s="8">
        <v>8.0087300000000004E-3</v>
      </c>
      <c r="O5" s="7">
        <v>21.290822380000002</v>
      </c>
      <c r="P5" s="7">
        <v>6.2994441800000001</v>
      </c>
    </row>
    <row r="6" spans="1:16" x14ac:dyDescent="0.2">
      <c r="A6" s="3" t="s">
        <v>24</v>
      </c>
      <c r="B6" s="5">
        <v>45778</v>
      </c>
      <c r="C6" s="5" t="s">
        <v>31</v>
      </c>
      <c r="D6" s="6">
        <v>1852048</v>
      </c>
      <c r="E6" s="6">
        <v>97150192</v>
      </c>
      <c r="F6" s="6">
        <v>11233970</v>
      </c>
      <c r="G6" s="6">
        <v>1730928308.5599301</v>
      </c>
      <c r="H6" s="7">
        <v>934.60229355000001</v>
      </c>
      <c r="I6" s="8">
        <v>0.21673000000000001</v>
      </c>
      <c r="J6" s="8">
        <v>0.21679920999999999</v>
      </c>
      <c r="K6" s="8">
        <v>1.5408100000000001E-3</v>
      </c>
      <c r="L6" s="7">
        <v>17.81703443</v>
      </c>
      <c r="M6" s="7">
        <v>154.07984074999999</v>
      </c>
      <c r="N6" s="8">
        <v>9.0658800000000001E-3</v>
      </c>
      <c r="O6" s="7">
        <v>52.455547369999998</v>
      </c>
      <c r="P6" s="7">
        <v>6.0657013199999996</v>
      </c>
    </row>
    <row r="7" spans="1:16" x14ac:dyDescent="0.2">
      <c r="A7" s="3" t="s">
        <v>18</v>
      </c>
      <c r="B7" s="5">
        <v>45778</v>
      </c>
      <c r="C7" s="5" t="s">
        <v>30</v>
      </c>
      <c r="D7" s="6">
        <v>4089008</v>
      </c>
      <c r="E7" s="6">
        <v>387898020</v>
      </c>
      <c r="F7" s="6">
        <v>53744155</v>
      </c>
      <c r="G7" s="6">
        <v>12803066099.118996</v>
      </c>
      <c r="H7" s="7">
        <v>3131.09343369</v>
      </c>
      <c r="I7" s="8">
        <v>0.47850309000000002</v>
      </c>
      <c r="J7" s="8">
        <v>0.47865590000000002</v>
      </c>
      <c r="K7" s="8">
        <v>1.13968E-2</v>
      </c>
      <c r="L7" s="7">
        <v>33.00626828</v>
      </c>
      <c r="M7" s="7">
        <v>238.22248549</v>
      </c>
      <c r="N7" s="8">
        <v>3.6197930000000003E-2</v>
      </c>
      <c r="O7" s="7">
        <v>94.863600050000002</v>
      </c>
      <c r="P7" s="7">
        <v>13.143567989999999</v>
      </c>
    </row>
    <row r="8" spans="1:16" x14ac:dyDescent="0.2">
      <c r="A8" s="3" t="s">
        <v>17</v>
      </c>
      <c r="B8" s="5">
        <v>45778</v>
      </c>
      <c r="C8" s="5" t="s">
        <v>30</v>
      </c>
      <c r="D8" s="6">
        <v>4866312</v>
      </c>
      <c r="E8" s="6">
        <v>336235732</v>
      </c>
      <c r="F8" s="6">
        <v>138803305</v>
      </c>
      <c r="G8" s="6">
        <v>31477535389.561375</v>
      </c>
      <c r="H8" s="7">
        <v>6468.4581238399996</v>
      </c>
      <c r="I8" s="8">
        <v>0.56946461000000004</v>
      </c>
      <c r="J8" s="8">
        <v>0.56964645999999997</v>
      </c>
      <c r="K8" s="8">
        <v>2.8020099999999999E-2</v>
      </c>
      <c r="L8" s="7">
        <v>93.617460609999995</v>
      </c>
      <c r="M8" s="7">
        <v>226.77799690000001</v>
      </c>
      <c r="N8" s="8">
        <v>3.1376899999999999E-2</v>
      </c>
      <c r="O8" s="7">
        <v>69.094569340000007</v>
      </c>
      <c r="P8" s="7">
        <v>28.523305669999999</v>
      </c>
    </row>
    <row r="9" spans="1:16" x14ac:dyDescent="0.2">
      <c r="A9" s="3" t="s">
        <v>21</v>
      </c>
      <c r="B9" s="5">
        <v>45778</v>
      </c>
      <c r="C9" s="5" t="s">
        <v>32</v>
      </c>
      <c r="D9" s="6">
        <v>3305368</v>
      </c>
      <c r="E9" s="6">
        <v>152939557</v>
      </c>
      <c r="F9" s="6">
        <v>54754631</v>
      </c>
      <c r="G9" s="6">
        <v>9921852166.1588974</v>
      </c>
      <c r="H9" s="7">
        <v>3001.7390396999999</v>
      </c>
      <c r="I9" s="8">
        <v>0.38680013000000002</v>
      </c>
      <c r="J9" s="8">
        <v>0.38692365000000001</v>
      </c>
      <c r="K9" s="8">
        <v>8.8320599999999992E-3</v>
      </c>
      <c r="L9" s="7">
        <v>64.874335770000002</v>
      </c>
      <c r="M9" s="7">
        <v>181.20571575</v>
      </c>
      <c r="N9" s="8">
        <v>1.427204E-2</v>
      </c>
      <c r="O9" s="7">
        <v>46.270054309999999</v>
      </c>
      <c r="P9" s="7">
        <v>16.5653662</v>
      </c>
    </row>
    <row r="10" spans="1:16" x14ac:dyDescent="0.2">
      <c r="A10" s="3" t="s">
        <v>20</v>
      </c>
      <c r="B10" s="5">
        <v>45778</v>
      </c>
      <c r="C10" s="5" t="s">
        <v>31</v>
      </c>
      <c r="D10" s="6">
        <v>3572096</v>
      </c>
      <c r="E10" s="6">
        <v>147646468</v>
      </c>
      <c r="F10" s="6">
        <v>65412037</v>
      </c>
      <c r="G10" s="6">
        <v>11230859996.398981</v>
      </c>
      <c r="H10" s="7">
        <v>3144.0532383200002</v>
      </c>
      <c r="I10" s="8">
        <v>0.41801312000000002</v>
      </c>
      <c r="J10" s="8">
        <v>0.41814660999999997</v>
      </c>
      <c r="K10" s="8">
        <v>9.9972800000000007E-3</v>
      </c>
      <c r="L10" s="7">
        <v>76.065890139999993</v>
      </c>
      <c r="M10" s="7">
        <v>171.69408791000001</v>
      </c>
      <c r="N10" s="8">
        <v>1.37781E-2</v>
      </c>
      <c r="O10" s="7">
        <v>41.333286610000002</v>
      </c>
      <c r="P10" s="7">
        <v>18.311948170000001</v>
      </c>
    </row>
    <row r="11" spans="1:16" x14ac:dyDescent="0.2">
      <c r="A11" s="3" t="s">
        <v>22</v>
      </c>
      <c r="B11" s="5">
        <v>45809</v>
      </c>
      <c r="C11" s="5" t="s">
        <v>30</v>
      </c>
      <c r="D11" s="6">
        <v>2730464</v>
      </c>
      <c r="E11" s="6">
        <v>55193410</v>
      </c>
      <c r="F11" s="6">
        <v>18390900</v>
      </c>
      <c r="G11" s="6">
        <v>3962212409.759563</v>
      </c>
      <c r="H11" s="7">
        <v>1451.11322096</v>
      </c>
      <c r="I11" s="8">
        <v>0.31956990000000002</v>
      </c>
      <c r="J11" s="8">
        <v>0.31969830999999999</v>
      </c>
      <c r="K11" s="8">
        <v>3.7983000000000001E-3</v>
      </c>
      <c r="L11" s="7">
        <v>71.787780740000002</v>
      </c>
      <c r="M11" s="7">
        <v>215.44418216</v>
      </c>
      <c r="N11" s="8">
        <v>5.4535800000000004E-3</v>
      </c>
      <c r="O11" s="7">
        <v>20.213930640000001</v>
      </c>
      <c r="P11" s="7">
        <v>6.7354486299999996</v>
      </c>
    </row>
    <row r="12" spans="1:16" x14ac:dyDescent="0.2">
      <c r="A12" s="3" t="s">
        <v>15</v>
      </c>
      <c r="B12" s="5">
        <v>45809</v>
      </c>
      <c r="C12" s="5"/>
      <c r="D12" s="6">
        <v>8540752</v>
      </c>
      <c r="E12" s="6">
        <v>10120584594</v>
      </c>
      <c r="F12" s="6" t="s">
        <v>16</v>
      </c>
      <c r="G12" s="6">
        <v>1043154040802.8221</v>
      </c>
      <c r="H12" s="7">
        <v>122138.43005895001</v>
      </c>
      <c r="I12" s="8">
        <v>0.99959832000000004</v>
      </c>
      <c r="J12" s="8">
        <v>1</v>
      </c>
      <c r="K12" s="8">
        <v>1</v>
      </c>
      <c r="L12" s="7">
        <v>103.07250843</v>
      </c>
      <c r="M12" s="3" t="s">
        <v>16</v>
      </c>
      <c r="N12" s="8">
        <v>1</v>
      </c>
      <c r="O12" s="7">
        <v>1184.97581872</v>
      </c>
      <c r="P12" s="7" t="s">
        <v>16</v>
      </c>
    </row>
    <row r="13" spans="1:16" x14ac:dyDescent="0.2">
      <c r="A13" s="3" t="s">
        <v>23</v>
      </c>
      <c r="B13" s="5">
        <v>45809</v>
      </c>
      <c r="C13" s="5" t="s">
        <v>31</v>
      </c>
      <c r="D13" s="6">
        <v>2419120</v>
      </c>
      <c r="E13" s="6">
        <v>82828498</v>
      </c>
      <c r="F13" s="6">
        <v>19548290</v>
      </c>
      <c r="G13" s="6">
        <v>3928896429.0397291</v>
      </c>
      <c r="H13" s="7">
        <v>1624.10150346</v>
      </c>
      <c r="I13" s="8">
        <v>0.28313061</v>
      </c>
      <c r="J13" s="8">
        <v>0.28324438000000002</v>
      </c>
      <c r="K13" s="8">
        <v>3.7663599999999998E-3</v>
      </c>
      <c r="L13" s="7">
        <v>47.43411424</v>
      </c>
      <c r="M13" s="7">
        <v>200.98414812999999</v>
      </c>
      <c r="N13" s="8">
        <v>8.1841599999999994E-3</v>
      </c>
      <c r="O13" s="7">
        <v>34.239102580000001</v>
      </c>
      <c r="P13" s="7">
        <v>8.0807442700000003</v>
      </c>
    </row>
    <row r="14" spans="1:16" x14ac:dyDescent="0.2">
      <c r="A14" s="3" t="s">
        <v>19</v>
      </c>
      <c r="B14" s="5">
        <v>45809</v>
      </c>
      <c r="C14" s="5" t="s">
        <v>30</v>
      </c>
      <c r="D14" s="6">
        <v>4049672</v>
      </c>
      <c r="E14" s="6">
        <v>85563596</v>
      </c>
      <c r="F14" s="6">
        <v>24138302</v>
      </c>
      <c r="G14" s="6">
        <v>3452265730.319541</v>
      </c>
      <c r="H14" s="7">
        <v>852.48033181999995</v>
      </c>
      <c r="I14" s="8">
        <v>0.47396825999999997</v>
      </c>
      <c r="J14" s="8">
        <v>0.47415871999999998</v>
      </c>
      <c r="K14" s="8">
        <v>3.3094499999999998E-3</v>
      </c>
      <c r="L14" s="7">
        <v>40.347366110000003</v>
      </c>
      <c r="M14" s="7">
        <v>143.02023749</v>
      </c>
      <c r="N14" s="8">
        <v>8.4544100000000007E-3</v>
      </c>
      <c r="O14" s="7">
        <v>21.12852496</v>
      </c>
      <c r="P14" s="7">
        <v>5.96055738</v>
      </c>
    </row>
    <row r="15" spans="1:16" x14ac:dyDescent="0.2">
      <c r="A15" s="3" t="s">
        <v>24</v>
      </c>
      <c r="B15" s="5">
        <v>45809</v>
      </c>
      <c r="C15" s="5" t="s">
        <v>31</v>
      </c>
      <c r="D15" s="6">
        <v>2061840</v>
      </c>
      <c r="E15" s="6">
        <v>99141237</v>
      </c>
      <c r="F15" s="6">
        <v>11290169</v>
      </c>
      <c r="G15" s="6">
        <v>1729908321.6799386</v>
      </c>
      <c r="H15" s="7">
        <v>839.01191251</v>
      </c>
      <c r="I15" s="8">
        <v>0.24131503000000001</v>
      </c>
      <c r="J15" s="8">
        <v>0.24141199999999999</v>
      </c>
      <c r="K15" s="8">
        <v>1.6583399999999999E-3</v>
      </c>
      <c r="L15" s="7">
        <v>17.448928089999999</v>
      </c>
      <c r="M15" s="7">
        <v>153.22252964</v>
      </c>
      <c r="N15" s="8">
        <v>9.7959999999999992E-3</v>
      </c>
      <c r="O15" s="7">
        <v>48.08386556</v>
      </c>
      <c r="P15" s="7">
        <v>5.4757737899999999</v>
      </c>
    </row>
    <row r="16" spans="1:16" x14ac:dyDescent="0.2">
      <c r="A16" s="3" t="s">
        <v>18</v>
      </c>
      <c r="B16" s="5">
        <v>45809</v>
      </c>
      <c r="C16" s="5" t="s">
        <v>30</v>
      </c>
      <c r="D16" s="6">
        <v>3835040</v>
      </c>
      <c r="E16" s="6">
        <v>357412941</v>
      </c>
      <c r="F16" s="6">
        <v>50360499</v>
      </c>
      <c r="G16" s="6">
        <v>11670113403.519106</v>
      </c>
      <c r="H16" s="7">
        <v>3043.02260303</v>
      </c>
      <c r="I16" s="8">
        <v>0.44884801000000002</v>
      </c>
      <c r="J16" s="8">
        <v>0.44902838</v>
      </c>
      <c r="K16" s="8">
        <v>1.1187330000000001E-2</v>
      </c>
      <c r="L16" s="7">
        <v>32.651625260000003</v>
      </c>
      <c r="M16" s="7">
        <v>231.73148775000001</v>
      </c>
      <c r="N16" s="8">
        <v>3.5315439999999997E-2</v>
      </c>
      <c r="O16" s="7">
        <v>93.196665670000002</v>
      </c>
      <c r="P16" s="7">
        <v>13.131675080000001</v>
      </c>
    </row>
    <row r="17" spans="1:16" x14ac:dyDescent="0.2">
      <c r="A17" s="3" t="s">
        <v>17</v>
      </c>
      <c r="B17" s="5">
        <v>45809</v>
      </c>
      <c r="C17" s="5" t="s">
        <v>30</v>
      </c>
      <c r="D17" s="6">
        <v>4872648</v>
      </c>
      <c r="E17" s="6">
        <v>345052173</v>
      </c>
      <c r="F17" s="6">
        <v>139610474</v>
      </c>
      <c r="G17" s="6">
        <v>32092367472.92342</v>
      </c>
      <c r="H17" s="7">
        <v>6586.2273394100002</v>
      </c>
      <c r="I17" s="8">
        <v>0.57028827999999998</v>
      </c>
      <c r="J17" s="8">
        <v>0.57051744000000004</v>
      </c>
      <c r="K17" s="8">
        <v>3.0764739999999999E-2</v>
      </c>
      <c r="L17" s="7">
        <v>93.007289880000002</v>
      </c>
      <c r="M17" s="7">
        <v>229.87077212</v>
      </c>
      <c r="N17" s="8">
        <v>3.4094100000000002E-2</v>
      </c>
      <c r="O17" s="7">
        <v>70.814097989999993</v>
      </c>
      <c r="P17" s="7">
        <v>28.651869390000002</v>
      </c>
    </row>
    <row r="18" spans="1:16" x14ac:dyDescent="0.2">
      <c r="A18" s="3" t="s">
        <v>21</v>
      </c>
      <c r="B18" s="5">
        <v>45809</v>
      </c>
      <c r="C18" s="5" t="s">
        <v>32</v>
      </c>
      <c r="D18" s="6">
        <v>2565728</v>
      </c>
      <c r="E18" s="6">
        <v>81612066</v>
      </c>
      <c r="F18" s="6">
        <v>35346048</v>
      </c>
      <c r="G18" s="6">
        <v>6274809226.3991671</v>
      </c>
      <c r="H18" s="7">
        <v>2445.6252675300002</v>
      </c>
      <c r="I18" s="8">
        <v>0.30028940999999998</v>
      </c>
      <c r="J18" s="8">
        <v>0.30041008000000002</v>
      </c>
      <c r="K18" s="8">
        <v>6.0152299999999999E-3</v>
      </c>
      <c r="L18" s="7">
        <v>76.885803039999999</v>
      </c>
      <c r="M18" s="7">
        <v>177.52505654000001</v>
      </c>
      <c r="N18" s="8">
        <v>8.0639700000000002E-3</v>
      </c>
      <c r="O18" s="7">
        <v>31.808541640000001</v>
      </c>
      <c r="P18" s="7">
        <v>13.776225820000001</v>
      </c>
    </row>
    <row r="19" spans="1:16" x14ac:dyDescent="0.2">
      <c r="A19" s="3" t="s">
        <v>20</v>
      </c>
      <c r="B19" s="5">
        <v>45809</v>
      </c>
      <c r="C19" s="5" t="s">
        <v>31</v>
      </c>
      <c r="D19" s="6">
        <v>3565056</v>
      </c>
      <c r="E19" s="6">
        <v>148437196</v>
      </c>
      <c r="F19" s="6">
        <v>64599681</v>
      </c>
      <c r="G19" s="6">
        <v>10819649995.438992</v>
      </c>
      <c r="H19" s="7">
        <v>3034.9172622900001</v>
      </c>
      <c r="I19" s="8">
        <v>0.41724944000000003</v>
      </c>
      <c r="J19" s="8">
        <v>0.41741710999999998</v>
      </c>
      <c r="K19" s="8">
        <v>1.0372050000000001E-2</v>
      </c>
      <c r="L19" s="7">
        <v>72.890422849999993</v>
      </c>
      <c r="M19" s="7">
        <v>167.48767004000001</v>
      </c>
      <c r="N19" s="8">
        <v>1.466686E-2</v>
      </c>
      <c r="O19" s="7">
        <v>41.636708140000003</v>
      </c>
      <c r="P19" s="7">
        <v>18.12024289</v>
      </c>
    </row>
    <row r="20" spans="1:16" x14ac:dyDescent="0.2">
      <c r="A20" s="3" t="s">
        <v>22</v>
      </c>
      <c r="B20" s="5">
        <v>45839</v>
      </c>
      <c r="C20" s="5" t="s">
        <v>30</v>
      </c>
      <c r="D20" s="6">
        <v>2809576</v>
      </c>
      <c r="E20" s="6">
        <v>53550037</v>
      </c>
      <c r="F20" s="6">
        <v>18133865</v>
      </c>
      <c r="G20" s="6">
        <v>3906536591.7595625</v>
      </c>
      <c r="H20" s="7">
        <v>1390.43634761</v>
      </c>
      <c r="I20" s="8">
        <v>0.32952481</v>
      </c>
      <c r="J20" s="8">
        <v>0.32972219000000003</v>
      </c>
      <c r="K20" s="8">
        <v>3.69455E-3</v>
      </c>
      <c r="L20" s="7">
        <v>72.951146179999995</v>
      </c>
      <c r="M20" s="7">
        <v>215.42768454</v>
      </c>
      <c r="N20" s="8">
        <v>5.18843E-3</v>
      </c>
      <c r="O20" s="7">
        <v>19.059828670000002</v>
      </c>
      <c r="P20" s="7">
        <v>6.4543067000000001</v>
      </c>
    </row>
    <row r="21" spans="1:16" x14ac:dyDescent="0.2">
      <c r="A21" s="3" t="s">
        <v>15</v>
      </c>
      <c r="B21" s="5">
        <v>45839</v>
      </c>
      <c r="C21" s="9"/>
      <c r="D21" s="6">
        <v>8521040</v>
      </c>
      <c r="E21" s="6">
        <v>10321042677</v>
      </c>
      <c r="F21" s="6" t="s">
        <v>16</v>
      </c>
      <c r="G21" s="6">
        <v>1057377833391.5132</v>
      </c>
      <c r="H21" s="7">
        <v>124090.23234153001</v>
      </c>
      <c r="I21" s="8">
        <v>0.99940136999999996</v>
      </c>
      <c r="J21" s="8">
        <v>1</v>
      </c>
      <c r="K21" s="8">
        <v>1</v>
      </c>
      <c r="L21" s="7">
        <v>102.44874152</v>
      </c>
      <c r="M21" s="3" t="s">
        <v>16</v>
      </c>
      <c r="N21" s="8">
        <v>1</v>
      </c>
      <c r="O21" s="7">
        <v>1211.2421343599999</v>
      </c>
      <c r="P21" s="7" t="s">
        <v>16</v>
      </c>
    </row>
    <row r="22" spans="1:16" x14ac:dyDescent="0.2">
      <c r="A22" s="3" t="s">
        <v>23</v>
      </c>
      <c r="B22" s="5">
        <v>45839</v>
      </c>
      <c r="C22" s="5" t="s">
        <v>31</v>
      </c>
      <c r="D22" s="6">
        <v>2077416</v>
      </c>
      <c r="E22" s="6">
        <v>82995404</v>
      </c>
      <c r="F22" s="6">
        <v>17328197</v>
      </c>
      <c r="G22" s="6">
        <v>3754020381.7597775</v>
      </c>
      <c r="H22" s="7">
        <v>1807.06241877</v>
      </c>
      <c r="I22" s="8">
        <v>0.24365245999999999</v>
      </c>
      <c r="J22" s="8">
        <v>0.24379840999999999</v>
      </c>
      <c r="K22" s="8">
        <v>3.5503100000000001E-3</v>
      </c>
      <c r="L22" s="7">
        <v>45.231665900000003</v>
      </c>
      <c r="M22" s="7">
        <v>216.64229538999999</v>
      </c>
      <c r="N22" s="8">
        <v>8.0413800000000007E-3</v>
      </c>
      <c r="O22" s="7">
        <v>39.95126827</v>
      </c>
      <c r="P22" s="7">
        <v>8.3412263299999996</v>
      </c>
    </row>
    <row r="23" spans="1:16" x14ac:dyDescent="0.2">
      <c r="A23" s="3" t="s">
        <v>19</v>
      </c>
      <c r="B23" s="5">
        <v>45839</v>
      </c>
      <c r="C23" s="5" t="s">
        <v>30</v>
      </c>
      <c r="D23" s="6">
        <v>3823072</v>
      </c>
      <c r="E23" s="6">
        <v>87499805</v>
      </c>
      <c r="F23" s="6">
        <v>22311711</v>
      </c>
      <c r="G23" s="6">
        <v>3907633104.3194818</v>
      </c>
      <c r="H23" s="7">
        <v>1022.1186272</v>
      </c>
      <c r="I23" s="8">
        <v>0.44839402</v>
      </c>
      <c r="J23" s="8">
        <v>0.44866260000000002</v>
      </c>
      <c r="K23" s="8">
        <v>3.6955899999999999E-3</v>
      </c>
      <c r="L23" s="7">
        <v>44.658763389999997</v>
      </c>
      <c r="M23" s="7">
        <v>175.13820931999999</v>
      </c>
      <c r="N23" s="8">
        <v>8.4778100000000006E-3</v>
      </c>
      <c r="O23" s="7">
        <v>22.887302500000001</v>
      </c>
      <c r="P23" s="7">
        <v>5.83606873</v>
      </c>
    </row>
    <row r="24" spans="1:16" x14ac:dyDescent="0.2">
      <c r="A24" s="3" t="s">
        <v>24</v>
      </c>
      <c r="B24" s="5">
        <v>45839</v>
      </c>
      <c r="C24" s="5" t="s">
        <v>31</v>
      </c>
      <c r="D24" s="6">
        <v>1845448</v>
      </c>
      <c r="E24" s="6">
        <v>117823712</v>
      </c>
      <c r="F24" s="6">
        <v>10840587</v>
      </c>
      <c r="G24" s="6">
        <v>1857066373.359942</v>
      </c>
      <c r="H24" s="7">
        <v>1006.29569262</v>
      </c>
      <c r="I24" s="8">
        <v>0.21644579</v>
      </c>
      <c r="J24" s="8">
        <v>0.21657544000000001</v>
      </c>
      <c r="K24" s="8">
        <v>1.75629E-3</v>
      </c>
      <c r="L24" s="7">
        <v>15.76139759</v>
      </c>
      <c r="M24" s="7">
        <v>171.30680771999999</v>
      </c>
      <c r="N24" s="8">
        <v>1.141587E-2</v>
      </c>
      <c r="O24" s="7">
        <v>63.845587719999997</v>
      </c>
      <c r="P24" s="7">
        <v>5.8742305999999997</v>
      </c>
    </row>
    <row r="25" spans="1:16" x14ac:dyDescent="0.2">
      <c r="A25" s="3" t="s">
        <v>18</v>
      </c>
      <c r="B25" s="5">
        <v>45839</v>
      </c>
      <c r="C25" s="5" t="s">
        <v>30</v>
      </c>
      <c r="D25" s="6">
        <v>3962464</v>
      </c>
      <c r="E25" s="6">
        <v>392954951</v>
      </c>
      <c r="F25" s="6">
        <v>52496780</v>
      </c>
      <c r="G25" s="6">
        <v>12213732172.399025</v>
      </c>
      <c r="H25" s="7">
        <v>3082.3578895400001</v>
      </c>
      <c r="I25" s="8">
        <v>0.46474280000000001</v>
      </c>
      <c r="J25" s="8">
        <v>0.46502116999999998</v>
      </c>
      <c r="K25" s="8">
        <v>1.1550960000000001E-2</v>
      </c>
      <c r="L25" s="7">
        <v>31.08176177</v>
      </c>
      <c r="M25" s="7">
        <v>232.65678647999999</v>
      </c>
      <c r="N25" s="8">
        <v>3.8073179999999998E-2</v>
      </c>
      <c r="O25" s="7">
        <v>99.169342850000007</v>
      </c>
      <c r="P25" s="7">
        <v>13.248519140000001</v>
      </c>
    </row>
    <row r="26" spans="1:16" x14ac:dyDescent="0.2">
      <c r="A26" s="3" t="s">
        <v>17</v>
      </c>
      <c r="B26" s="5">
        <v>45839</v>
      </c>
      <c r="C26" s="5" t="s">
        <v>30</v>
      </c>
      <c r="D26" s="6">
        <v>4879336</v>
      </c>
      <c r="E26" s="6">
        <v>347212571</v>
      </c>
      <c r="F26" s="6">
        <v>136632888</v>
      </c>
      <c r="G26" s="6">
        <v>31574621845.403862</v>
      </c>
      <c r="H26" s="7">
        <v>6471.0898871099998</v>
      </c>
      <c r="I26" s="8">
        <v>0.57227932999999997</v>
      </c>
      <c r="J26" s="8">
        <v>0.57262212000000001</v>
      </c>
      <c r="K26" s="8">
        <v>2.9861249999999999E-2</v>
      </c>
      <c r="L26" s="7">
        <v>90.937438520000001</v>
      </c>
      <c r="M26" s="7">
        <v>231.09093572</v>
      </c>
      <c r="N26" s="8">
        <v>3.3641230000000001E-2</v>
      </c>
      <c r="O26" s="7">
        <v>71.159799449999994</v>
      </c>
      <c r="P26" s="7">
        <v>28.002352699999999</v>
      </c>
    </row>
    <row r="27" spans="1:16" x14ac:dyDescent="0.2">
      <c r="A27" s="3" t="s">
        <v>21</v>
      </c>
      <c r="B27" s="5">
        <v>45839</v>
      </c>
      <c r="C27" s="5" t="s">
        <v>32</v>
      </c>
      <c r="D27" s="6">
        <v>2753696</v>
      </c>
      <c r="E27" s="6">
        <v>98510404</v>
      </c>
      <c r="F27" s="6">
        <v>39952139</v>
      </c>
      <c r="G27" s="6">
        <v>7336785265.0391331</v>
      </c>
      <c r="H27" s="7">
        <v>2664.3410402</v>
      </c>
      <c r="I27" s="8">
        <v>0.32297084999999998</v>
      </c>
      <c r="J27" s="8">
        <v>0.32316431000000001</v>
      </c>
      <c r="K27" s="8">
        <v>6.9386600000000001E-3</v>
      </c>
      <c r="L27" s="7">
        <v>74.477262920000001</v>
      </c>
      <c r="M27" s="7">
        <v>183.63936053</v>
      </c>
      <c r="N27" s="8">
        <v>9.5446200000000002E-3</v>
      </c>
      <c r="O27" s="7">
        <v>35.773885020000002</v>
      </c>
      <c r="P27" s="7">
        <v>14.508551069999999</v>
      </c>
    </row>
    <row r="28" spans="1:16" x14ac:dyDescent="0.2">
      <c r="A28" s="3" t="s">
        <v>20</v>
      </c>
      <c r="B28" s="5">
        <v>45839</v>
      </c>
      <c r="C28" s="5" t="s">
        <v>31</v>
      </c>
      <c r="D28" s="6">
        <v>3511376</v>
      </c>
      <c r="E28" s="6">
        <v>157603223</v>
      </c>
      <c r="F28" s="6">
        <v>63944473</v>
      </c>
      <c r="G28" s="6">
        <v>11424431996.559029</v>
      </c>
      <c r="H28" s="7">
        <v>3253.5484654900001</v>
      </c>
      <c r="I28" s="8">
        <v>0.41183635000000002</v>
      </c>
      <c r="J28" s="8">
        <v>0.41208303000000002</v>
      </c>
      <c r="K28" s="8">
        <v>1.080449E-2</v>
      </c>
      <c r="L28" s="7">
        <v>72.488568150000006</v>
      </c>
      <c r="M28" s="7">
        <v>178.66175823</v>
      </c>
      <c r="N28" s="8">
        <v>1.527009E-2</v>
      </c>
      <c r="O28" s="7">
        <v>44.883607840000003</v>
      </c>
      <c r="P28" s="7">
        <v>18.210659620000001</v>
      </c>
    </row>
    <row r="29" spans="1:16" x14ac:dyDescent="0.2">
      <c r="A29" s="3" t="s">
        <v>22</v>
      </c>
      <c r="B29" s="5">
        <v>45870</v>
      </c>
      <c r="C29" s="5" t="s">
        <v>30</v>
      </c>
      <c r="D29" s="6">
        <v>2445520</v>
      </c>
      <c r="E29" s="6">
        <v>46763551</v>
      </c>
      <c r="F29" s="6">
        <v>15708699</v>
      </c>
      <c r="G29" s="6">
        <v>3517937147.1196547</v>
      </c>
      <c r="H29" s="7">
        <v>1438.5231554500001</v>
      </c>
      <c r="I29" s="8">
        <v>0.28671653000000002</v>
      </c>
      <c r="J29" s="8">
        <v>0.28685562999999997</v>
      </c>
      <c r="K29" s="8">
        <v>3.4384200000000002E-3</v>
      </c>
      <c r="L29" s="7">
        <v>75.228186539999996</v>
      </c>
      <c r="M29" s="7">
        <v>223.94834924</v>
      </c>
      <c r="N29" s="8">
        <v>4.8076500000000001E-3</v>
      </c>
      <c r="O29" s="7">
        <v>19.122129900000001</v>
      </c>
      <c r="P29" s="7">
        <v>6.4234595199999998</v>
      </c>
    </row>
    <row r="30" spans="1:16" x14ac:dyDescent="0.2">
      <c r="A30" s="3" t="s">
        <v>15</v>
      </c>
      <c r="B30" s="5">
        <v>45870</v>
      </c>
      <c r="C30" s="5"/>
      <c r="D30" s="6">
        <v>8525264</v>
      </c>
      <c r="E30" s="6">
        <v>9726914033</v>
      </c>
      <c r="F30" s="6" t="s">
        <v>16</v>
      </c>
      <c r="G30" s="6">
        <v>1023125633823.1134</v>
      </c>
      <c r="H30" s="7">
        <v>120011.02063503</v>
      </c>
      <c r="I30" s="8">
        <v>0.99951509000000005</v>
      </c>
      <c r="J30" s="8">
        <v>1</v>
      </c>
      <c r="K30" s="8">
        <v>1</v>
      </c>
      <c r="L30" s="7">
        <v>105.18501864</v>
      </c>
      <c r="M30" s="3" t="s">
        <v>16</v>
      </c>
      <c r="N30" s="8">
        <v>1</v>
      </c>
      <c r="O30" s="7">
        <v>1140.9516506299999</v>
      </c>
      <c r="P30" s="7" t="s">
        <v>16</v>
      </c>
    </row>
    <row r="31" spans="1:16" x14ac:dyDescent="0.2">
      <c r="A31" s="3" t="s">
        <v>23</v>
      </c>
      <c r="B31" s="5">
        <v>45870</v>
      </c>
      <c r="C31" s="5" t="s">
        <v>31</v>
      </c>
      <c r="D31" s="6">
        <v>2006312</v>
      </c>
      <c r="E31" s="6">
        <v>73341085</v>
      </c>
      <c r="F31" s="6">
        <v>16347324</v>
      </c>
      <c r="G31" s="6">
        <v>3437829445.5998206</v>
      </c>
      <c r="H31" s="7">
        <v>1713.50689504</v>
      </c>
      <c r="I31" s="8">
        <v>0.23522311000000001</v>
      </c>
      <c r="J31" s="8">
        <v>0.23533723000000001</v>
      </c>
      <c r="K31" s="8">
        <v>3.3601199999999999E-3</v>
      </c>
      <c r="L31" s="7">
        <v>46.874537609999997</v>
      </c>
      <c r="M31" s="7">
        <v>210.29921236999999</v>
      </c>
      <c r="N31" s="8">
        <v>7.5400199999999997E-3</v>
      </c>
      <c r="O31" s="7">
        <v>36.555174350000001</v>
      </c>
      <c r="P31" s="7">
        <v>8.1479472800000003</v>
      </c>
    </row>
    <row r="32" spans="1:16" x14ac:dyDescent="0.2">
      <c r="A32" s="3" t="s">
        <v>19</v>
      </c>
      <c r="B32" s="5">
        <v>45870</v>
      </c>
      <c r="C32" s="5" t="s">
        <v>30</v>
      </c>
      <c r="D32" s="6">
        <v>3723984</v>
      </c>
      <c r="E32" s="6">
        <v>78018871</v>
      </c>
      <c r="F32" s="6">
        <v>22475355</v>
      </c>
      <c r="G32" s="6">
        <v>4053576910.2394767</v>
      </c>
      <c r="H32" s="7">
        <v>1088.5054582</v>
      </c>
      <c r="I32" s="8">
        <v>0.43660562000000003</v>
      </c>
      <c r="J32" s="8">
        <v>0.43681744</v>
      </c>
      <c r="K32" s="8">
        <v>3.9619499999999997E-3</v>
      </c>
      <c r="L32" s="7">
        <v>51.956364610000001</v>
      </c>
      <c r="M32" s="7">
        <v>180.35652526000001</v>
      </c>
      <c r="N32" s="8">
        <v>8.0209300000000008E-3</v>
      </c>
      <c r="O32" s="7">
        <v>20.950377620000001</v>
      </c>
      <c r="P32" s="7">
        <v>6.03529845</v>
      </c>
    </row>
    <row r="33" spans="1:16" x14ac:dyDescent="0.2">
      <c r="A33" s="3" t="s">
        <v>24</v>
      </c>
      <c r="B33" s="5">
        <v>45870</v>
      </c>
      <c r="C33" s="5" t="s">
        <v>31</v>
      </c>
      <c r="D33" s="6">
        <v>1918752</v>
      </c>
      <c r="E33" s="6">
        <v>89992172</v>
      </c>
      <c r="F33" s="6">
        <v>10840114</v>
      </c>
      <c r="G33" s="6">
        <v>1766715219.2799492</v>
      </c>
      <c r="H33" s="7">
        <v>920.76267244999997</v>
      </c>
      <c r="I33" s="8">
        <v>0.22495744000000001</v>
      </c>
      <c r="J33" s="8">
        <v>0.22506657999999999</v>
      </c>
      <c r="K33" s="8">
        <v>1.72678E-3</v>
      </c>
      <c r="L33" s="7">
        <v>19.631876609999999</v>
      </c>
      <c r="M33" s="7">
        <v>162.97939961</v>
      </c>
      <c r="N33" s="8">
        <v>9.2518700000000006E-3</v>
      </c>
      <c r="O33" s="7">
        <v>46.901408920000002</v>
      </c>
      <c r="P33" s="7">
        <v>5.6495647599999996</v>
      </c>
    </row>
    <row r="34" spans="1:16" x14ac:dyDescent="0.2">
      <c r="A34" s="3" t="s">
        <v>18</v>
      </c>
      <c r="B34" s="5">
        <v>45870</v>
      </c>
      <c r="C34" s="5" t="s">
        <v>30</v>
      </c>
      <c r="D34" s="6">
        <v>3883264</v>
      </c>
      <c r="E34" s="6">
        <v>367399179</v>
      </c>
      <c r="F34" s="6">
        <v>50565729</v>
      </c>
      <c r="G34" s="6">
        <v>11764233862.479021</v>
      </c>
      <c r="H34" s="7">
        <v>3029.4705336699999</v>
      </c>
      <c r="I34" s="8">
        <v>0.45527985999999998</v>
      </c>
      <c r="J34" s="8">
        <v>0.45550073000000002</v>
      </c>
      <c r="K34" s="8">
        <v>1.1498329999999999E-2</v>
      </c>
      <c r="L34" s="7">
        <v>32.020305260000001</v>
      </c>
      <c r="M34" s="7">
        <v>232.65231274000001</v>
      </c>
      <c r="N34" s="8">
        <v>3.7771399999999997E-2</v>
      </c>
      <c r="O34" s="7">
        <v>94.610919820000007</v>
      </c>
      <c r="P34" s="7">
        <v>13.02145033</v>
      </c>
    </row>
    <row r="35" spans="1:16" x14ac:dyDescent="0.2">
      <c r="A35" s="3" t="s">
        <v>17</v>
      </c>
      <c r="B35" s="5">
        <v>45870</v>
      </c>
      <c r="C35" s="5" t="s">
        <v>30</v>
      </c>
      <c r="D35" s="6">
        <v>4696824</v>
      </c>
      <c r="E35" s="6">
        <v>318813693</v>
      </c>
      <c r="F35" s="6">
        <v>129952302</v>
      </c>
      <c r="G35" s="6">
        <v>29770080200.119823</v>
      </c>
      <c r="H35" s="7">
        <v>6338.34271842</v>
      </c>
      <c r="I35" s="8">
        <v>0.55066287999999997</v>
      </c>
      <c r="J35" s="8">
        <v>0.55093004000000001</v>
      </c>
      <c r="K35" s="8">
        <v>2.9097189999999998E-2</v>
      </c>
      <c r="L35" s="7">
        <v>93.377671070000005</v>
      </c>
      <c r="M35" s="7">
        <v>229.08466901</v>
      </c>
      <c r="N35" s="8">
        <v>3.2776449999999999E-2</v>
      </c>
      <c r="O35" s="7">
        <v>67.878569310000003</v>
      </c>
      <c r="P35" s="7">
        <v>27.668122650000001</v>
      </c>
    </row>
    <row r="36" spans="1:16" x14ac:dyDescent="0.2">
      <c r="A36" s="3" t="s">
        <v>21</v>
      </c>
      <c r="B36" s="5">
        <v>45870</v>
      </c>
      <c r="C36" s="5" t="s">
        <v>32</v>
      </c>
      <c r="D36" s="6">
        <v>2537128</v>
      </c>
      <c r="E36" s="6">
        <v>103693625</v>
      </c>
      <c r="F36" s="6">
        <v>39640491</v>
      </c>
      <c r="G36" s="6">
        <v>6881889199.6791859</v>
      </c>
      <c r="H36" s="7">
        <v>2712.4722125500002</v>
      </c>
      <c r="I36" s="8">
        <v>0.29745680000000002</v>
      </c>
      <c r="J36" s="8">
        <v>0.29760111</v>
      </c>
      <c r="K36" s="8">
        <v>6.7263399999999999E-3</v>
      </c>
      <c r="L36" s="7">
        <v>66.36752439</v>
      </c>
      <c r="M36" s="7">
        <v>173.60756899</v>
      </c>
      <c r="N36" s="8">
        <v>1.066049E-2</v>
      </c>
      <c r="O36" s="7">
        <v>40.870474489999999</v>
      </c>
      <c r="P36" s="7">
        <v>15.62415872</v>
      </c>
    </row>
    <row r="37" spans="1:16" x14ac:dyDescent="0.2">
      <c r="A37" s="3" t="s">
        <v>20</v>
      </c>
      <c r="B37" s="5">
        <v>45870</v>
      </c>
      <c r="C37" s="5" t="s">
        <v>31</v>
      </c>
      <c r="D37" s="6">
        <v>3473184</v>
      </c>
      <c r="E37" s="6">
        <v>149191242</v>
      </c>
      <c r="F37" s="6">
        <v>63291646</v>
      </c>
      <c r="G37" s="6">
        <v>10689458998.239019</v>
      </c>
      <c r="H37" s="7">
        <v>3077.7116899799998</v>
      </c>
      <c r="I37" s="8">
        <v>0.40720144000000003</v>
      </c>
      <c r="J37" s="8">
        <v>0.40739900000000001</v>
      </c>
      <c r="K37" s="8">
        <v>1.044785E-2</v>
      </c>
      <c r="L37" s="7">
        <v>71.649373460000007</v>
      </c>
      <c r="M37" s="7">
        <v>168.89209989</v>
      </c>
      <c r="N37" s="8">
        <v>1.5337979999999999E-2</v>
      </c>
      <c r="O37" s="7">
        <v>42.955179389999998</v>
      </c>
      <c r="P37" s="7">
        <v>18.222946440000001</v>
      </c>
    </row>
    <row r="38" spans="1:16" x14ac:dyDescent="0.2">
      <c r="A38" s="3" t="s">
        <v>22</v>
      </c>
      <c r="B38" s="5">
        <v>45901</v>
      </c>
      <c r="C38" s="5" t="s">
        <v>30</v>
      </c>
      <c r="D38" s="6">
        <v>3273952</v>
      </c>
      <c r="E38" s="6">
        <v>53670600</v>
      </c>
      <c r="F38" s="6">
        <v>23931041</v>
      </c>
      <c r="G38" s="6">
        <v>3966681403.5194688</v>
      </c>
      <c r="H38" s="7">
        <v>1211.58813676</v>
      </c>
      <c r="I38" s="8">
        <v>0.37533923000000002</v>
      </c>
      <c r="J38" s="8">
        <v>0.37536953000000001</v>
      </c>
      <c r="K38" s="8">
        <v>3.8859400000000001E-3</v>
      </c>
      <c r="L38" s="7">
        <v>73.907901449999997</v>
      </c>
      <c r="M38" s="7">
        <v>165.75465188999999</v>
      </c>
      <c r="N38" s="8">
        <v>5.3156799999999997E-3</v>
      </c>
      <c r="O38" s="7">
        <v>16.393215250000001</v>
      </c>
      <c r="P38" s="7">
        <v>7.3095271999999998</v>
      </c>
    </row>
    <row r="39" spans="1:16" x14ac:dyDescent="0.2">
      <c r="A39" s="3" t="s">
        <v>15</v>
      </c>
      <c r="B39" s="5">
        <v>45901</v>
      </c>
      <c r="C39" s="5"/>
      <c r="D39" s="6">
        <v>8721944</v>
      </c>
      <c r="E39" s="6">
        <v>10096659224</v>
      </c>
      <c r="F39" s="6" t="s">
        <v>16</v>
      </c>
      <c r="G39" s="6">
        <v>1020778100132.6678</v>
      </c>
      <c r="H39" s="7">
        <v>117035.6173042</v>
      </c>
      <c r="I39" s="8">
        <v>0.99991929000000002</v>
      </c>
      <c r="J39" s="8">
        <v>1</v>
      </c>
      <c r="K39" s="8">
        <v>1</v>
      </c>
      <c r="L39" s="7">
        <v>101.10057965</v>
      </c>
      <c r="M39" s="3" t="s">
        <v>16</v>
      </c>
      <c r="N39" s="8">
        <v>1</v>
      </c>
      <c r="O39" s="7">
        <v>1157.61569027</v>
      </c>
      <c r="P39" s="7" t="s">
        <v>16</v>
      </c>
    </row>
    <row r="40" spans="1:16" x14ac:dyDescent="0.2">
      <c r="A40" s="3" t="s">
        <v>23</v>
      </c>
      <c r="B40" s="5">
        <v>45901</v>
      </c>
      <c r="C40" s="5" t="s">
        <v>31</v>
      </c>
      <c r="D40" s="6">
        <v>1983432</v>
      </c>
      <c r="E40" s="6">
        <v>67695485</v>
      </c>
      <c r="F40" s="6">
        <v>15399896</v>
      </c>
      <c r="G40" s="6">
        <v>3158172287.5998602</v>
      </c>
      <c r="H40" s="7">
        <v>1592.2765628499999</v>
      </c>
      <c r="I40" s="8">
        <v>0.22738875</v>
      </c>
      <c r="J40" s="8">
        <v>0.2274071</v>
      </c>
      <c r="K40" s="8">
        <v>3.0938900000000002E-3</v>
      </c>
      <c r="L40" s="7">
        <v>46.652627819999999</v>
      </c>
      <c r="M40" s="7">
        <v>205.07750537999999</v>
      </c>
      <c r="N40" s="8">
        <v>6.7047399999999998E-3</v>
      </c>
      <c r="O40" s="7">
        <v>34.130479610000002</v>
      </c>
      <c r="P40" s="7">
        <v>7.7642672700000004</v>
      </c>
    </row>
    <row r="41" spans="1:16" x14ac:dyDescent="0.2">
      <c r="A41" s="3" t="s">
        <v>19</v>
      </c>
      <c r="B41" s="5">
        <v>45901</v>
      </c>
      <c r="C41" s="5" t="s">
        <v>30</v>
      </c>
      <c r="D41" s="6">
        <v>4400352</v>
      </c>
      <c r="E41" s="6">
        <v>70123121</v>
      </c>
      <c r="F41" s="6">
        <v>30310921</v>
      </c>
      <c r="G41" s="6">
        <v>3643836085.9994602</v>
      </c>
      <c r="H41" s="7">
        <v>828.07831872999998</v>
      </c>
      <c r="I41" s="8">
        <v>0.50447432999999997</v>
      </c>
      <c r="J41" s="8">
        <v>0.50451504999999996</v>
      </c>
      <c r="K41" s="8">
        <v>3.56967E-3</v>
      </c>
      <c r="L41" s="7">
        <v>51.963404130000001</v>
      </c>
      <c r="M41" s="7">
        <v>120.21528905</v>
      </c>
      <c r="N41" s="8">
        <v>6.9451799999999996E-3</v>
      </c>
      <c r="O41" s="7">
        <v>15.935798139999999</v>
      </c>
      <c r="P41" s="7">
        <v>6.8882945400000004</v>
      </c>
    </row>
    <row r="42" spans="1:16" x14ac:dyDescent="0.2">
      <c r="A42" s="3" t="s">
        <v>24</v>
      </c>
      <c r="B42" s="5">
        <v>45901</v>
      </c>
      <c r="C42" s="5" t="s">
        <v>31</v>
      </c>
      <c r="D42" s="6">
        <v>2496560</v>
      </c>
      <c r="E42" s="6">
        <v>78606012</v>
      </c>
      <c r="F42" s="6">
        <v>12520705</v>
      </c>
      <c r="G42" s="6">
        <v>1662654033.9199347</v>
      </c>
      <c r="H42" s="7">
        <v>665.97799929999996</v>
      </c>
      <c r="I42" s="8">
        <v>0.28621584</v>
      </c>
      <c r="J42" s="8">
        <v>0.28623894</v>
      </c>
      <c r="K42" s="8">
        <v>1.6288100000000001E-3</v>
      </c>
      <c r="L42" s="7">
        <v>21.151741260000001</v>
      </c>
      <c r="M42" s="7">
        <v>132.79236417000001</v>
      </c>
      <c r="N42" s="8">
        <v>7.7853499999999999E-3</v>
      </c>
      <c r="O42" s="7">
        <v>31.485729289999998</v>
      </c>
      <c r="P42" s="7">
        <v>5.0151829399999999</v>
      </c>
    </row>
    <row r="43" spans="1:16" x14ac:dyDescent="0.2">
      <c r="A43" s="3" t="s">
        <v>18</v>
      </c>
      <c r="B43" s="5">
        <v>45901</v>
      </c>
      <c r="C43" s="5" t="s">
        <v>30</v>
      </c>
      <c r="D43" s="6">
        <v>4466000</v>
      </c>
      <c r="E43" s="6">
        <v>356260982</v>
      </c>
      <c r="F43" s="6">
        <v>53106207</v>
      </c>
      <c r="G43" s="6">
        <v>11382912577.519171</v>
      </c>
      <c r="H43" s="7">
        <v>2548.7936805899999</v>
      </c>
      <c r="I43" s="8">
        <v>0.51200047999999998</v>
      </c>
      <c r="J43" s="8">
        <v>0.51204181000000004</v>
      </c>
      <c r="K43" s="8">
        <v>1.115121E-2</v>
      </c>
      <c r="L43" s="7">
        <v>31.95105036</v>
      </c>
      <c r="M43" s="7">
        <v>214.34241166999999</v>
      </c>
      <c r="N43" s="8">
        <v>3.5285039999999997E-2</v>
      </c>
      <c r="O43" s="7">
        <v>79.771827590000001</v>
      </c>
      <c r="P43" s="7">
        <v>11.89122424</v>
      </c>
    </row>
    <row r="44" spans="1:16" x14ac:dyDescent="0.2">
      <c r="A44" s="3" t="s">
        <v>17</v>
      </c>
      <c r="B44" s="5">
        <v>45901</v>
      </c>
      <c r="C44" s="5" t="s">
        <v>30</v>
      </c>
      <c r="D44" s="6">
        <v>5215584</v>
      </c>
      <c r="E44" s="6">
        <v>324920618</v>
      </c>
      <c r="F44" s="6">
        <v>137589954</v>
      </c>
      <c r="G44" s="6">
        <v>30130248347.799473</v>
      </c>
      <c r="H44" s="7">
        <v>5776.9654074800001</v>
      </c>
      <c r="I44" s="8">
        <v>0.59793585999999999</v>
      </c>
      <c r="J44" s="8">
        <v>0.59798412000000001</v>
      </c>
      <c r="K44" s="8">
        <v>2.9516939999999998E-2</v>
      </c>
      <c r="L44" s="7">
        <v>92.731106240000003</v>
      </c>
      <c r="M44" s="7">
        <v>218.98581662000001</v>
      </c>
      <c r="N44" s="8">
        <v>3.2181000000000001E-2</v>
      </c>
      <c r="O44" s="7">
        <v>62.298031819999999</v>
      </c>
      <c r="P44" s="7">
        <v>26.380545990000002</v>
      </c>
    </row>
    <row r="45" spans="1:16" x14ac:dyDescent="0.2">
      <c r="A45" s="3" t="s">
        <v>21</v>
      </c>
      <c r="B45" s="5">
        <v>45901</v>
      </c>
      <c r="C45" s="5" t="s">
        <v>32</v>
      </c>
      <c r="D45" s="6">
        <v>2585616</v>
      </c>
      <c r="E45" s="6">
        <v>108156688</v>
      </c>
      <c r="F45" s="6">
        <v>40575754</v>
      </c>
      <c r="G45" s="6">
        <v>7063608032.7992325</v>
      </c>
      <c r="H45" s="7">
        <v>2731.88595399</v>
      </c>
      <c r="I45" s="8">
        <v>0.29642558000000002</v>
      </c>
      <c r="J45" s="8">
        <v>0.29644951000000003</v>
      </c>
      <c r="K45" s="8">
        <v>6.9198300000000001E-3</v>
      </c>
      <c r="L45" s="7">
        <v>65.309026919999994</v>
      </c>
      <c r="M45" s="7">
        <v>174.08445666</v>
      </c>
      <c r="N45" s="8">
        <v>1.071213E-2</v>
      </c>
      <c r="O45" s="7">
        <v>41.830143290000002</v>
      </c>
      <c r="P45" s="7">
        <v>15.692876930000001</v>
      </c>
    </row>
    <row r="46" spans="1:16" x14ac:dyDescent="0.2">
      <c r="A46" s="3" t="s">
        <v>20</v>
      </c>
      <c r="B46" s="5">
        <v>45901</v>
      </c>
      <c r="C46" s="5" t="s">
        <v>31</v>
      </c>
      <c r="D46" s="6">
        <v>3792536</v>
      </c>
      <c r="E46" s="6">
        <v>144359728</v>
      </c>
      <c r="F46" s="6">
        <v>64827453</v>
      </c>
      <c r="G46" s="6">
        <v>10815576004.638941</v>
      </c>
      <c r="H46" s="7">
        <v>2851.80575864</v>
      </c>
      <c r="I46" s="8">
        <v>0.43479182</v>
      </c>
      <c r="J46" s="8">
        <v>0.43482691000000001</v>
      </c>
      <c r="K46" s="8">
        <v>1.0595419999999999E-2</v>
      </c>
      <c r="L46" s="7">
        <v>74.921005449999996</v>
      </c>
      <c r="M46" s="7">
        <v>166.83635616999999</v>
      </c>
      <c r="N46" s="8">
        <v>1.429777E-2</v>
      </c>
      <c r="O46" s="7">
        <v>38.064168270000003</v>
      </c>
      <c r="P46" s="7">
        <v>17.0934311</v>
      </c>
    </row>
    <row r="47" spans="1:16" x14ac:dyDescent="0.2">
      <c r="A47" s="3" t="s">
        <v>22</v>
      </c>
      <c r="B47" s="5">
        <v>45931</v>
      </c>
      <c r="C47" s="5" t="s">
        <v>30</v>
      </c>
      <c r="D47" s="6">
        <v>3230480</v>
      </c>
      <c r="E47" s="6">
        <v>62847198</v>
      </c>
      <c r="F47" s="6">
        <v>27828024</v>
      </c>
      <c r="G47" s="6">
        <v>4723092432.0793419</v>
      </c>
      <c r="H47" s="7">
        <v>1462.04044974</v>
      </c>
      <c r="I47" s="8">
        <v>0.36815661</v>
      </c>
      <c r="J47" s="8">
        <v>0.36819352999999999</v>
      </c>
      <c r="K47" s="8">
        <v>4.2706300000000001E-3</v>
      </c>
      <c r="L47" s="7">
        <v>75.151997420000001</v>
      </c>
      <c r="M47" s="7">
        <v>169.72432226999999</v>
      </c>
      <c r="N47" s="8">
        <v>5.9679700000000004E-3</v>
      </c>
      <c r="O47" s="7">
        <v>19.454445660000001</v>
      </c>
      <c r="P47" s="7">
        <v>8.6142070299999993</v>
      </c>
    </row>
    <row r="48" spans="1:16" x14ac:dyDescent="0.2">
      <c r="A48" s="3" t="s">
        <v>15</v>
      </c>
      <c r="B48" s="5">
        <v>45931</v>
      </c>
      <c r="C48" s="5"/>
      <c r="D48" s="6">
        <v>8773864</v>
      </c>
      <c r="E48" s="6">
        <v>10530747872</v>
      </c>
      <c r="F48" s="6" t="s">
        <v>16</v>
      </c>
      <c r="G48" s="6">
        <v>1105946307350.8188</v>
      </c>
      <c r="H48" s="7">
        <v>126050.08549834001</v>
      </c>
      <c r="I48" s="8">
        <v>0.99989971</v>
      </c>
      <c r="J48" s="8">
        <v>1</v>
      </c>
      <c r="K48" s="8">
        <v>1</v>
      </c>
      <c r="L48" s="7">
        <v>105.02068047</v>
      </c>
      <c r="M48" s="3" t="s">
        <v>16</v>
      </c>
      <c r="N48" s="8">
        <v>1</v>
      </c>
      <c r="O48" s="7">
        <v>1200.2406091099999</v>
      </c>
      <c r="P48" s="7" t="s">
        <v>16</v>
      </c>
    </row>
    <row r="49" spans="1:16" x14ac:dyDescent="0.2">
      <c r="A49" s="3" t="s">
        <v>23</v>
      </c>
      <c r="B49" s="5">
        <v>45931</v>
      </c>
      <c r="C49" s="5" t="s">
        <v>31</v>
      </c>
      <c r="D49" s="6">
        <v>2089736</v>
      </c>
      <c r="E49" s="6">
        <v>74937426</v>
      </c>
      <c r="F49" s="6">
        <v>17133432</v>
      </c>
      <c r="G49" s="6">
        <v>3486183273.7598038</v>
      </c>
      <c r="H49" s="7">
        <v>1668.2409997100001</v>
      </c>
      <c r="I49" s="8">
        <v>0.23815349999999999</v>
      </c>
      <c r="J49" s="8">
        <v>0.23817738999999999</v>
      </c>
      <c r="K49" s="8">
        <v>3.1522199999999998E-3</v>
      </c>
      <c r="L49" s="7">
        <v>46.521257220000003</v>
      </c>
      <c r="M49" s="7">
        <v>203.47256113</v>
      </c>
      <c r="N49" s="8">
        <v>7.1160599999999996E-3</v>
      </c>
      <c r="O49" s="7">
        <v>35.859757440000003</v>
      </c>
      <c r="P49" s="7">
        <v>8.1988499600000004</v>
      </c>
    </row>
    <row r="50" spans="1:16" x14ac:dyDescent="0.2">
      <c r="A50" s="3" t="s">
        <v>19</v>
      </c>
      <c r="B50" s="5">
        <v>45931</v>
      </c>
      <c r="C50" s="5" t="s">
        <v>30</v>
      </c>
      <c r="D50" s="6">
        <v>4298888</v>
      </c>
      <c r="E50" s="6">
        <v>73301280</v>
      </c>
      <c r="F50" s="6">
        <v>31823595</v>
      </c>
      <c r="G50" s="6">
        <v>3931035111.5194249</v>
      </c>
      <c r="H50" s="7">
        <v>914.43068801000004</v>
      </c>
      <c r="I50" s="8">
        <v>0.48991605999999999</v>
      </c>
      <c r="J50" s="8">
        <v>0.48996519999999999</v>
      </c>
      <c r="K50" s="8">
        <v>3.5544499999999998E-3</v>
      </c>
      <c r="L50" s="7">
        <v>53.628464819999998</v>
      </c>
      <c r="M50" s="7">
        <v>123.52580299</v>
      </c>
      <c r="N50" s="8">
        <v>6.9606900000000003E-3</v>
      </c>
      <c r="O50" s="7">
        <v>17.051218810000002</v>
      </c>
      <c r="P50" s="7">
        <v>7.4027504000000004</v>
      </c>
    </row>
    <row r="51" spans="1:16" x14ac:dyDescent="0.2">
      <c r="A51" s="3" t="s">
        <v>24</v>
      </c>
      <c r="B51" s="5">
        <v>45931</v>
      </c>
      <c r="C51" s="5" t="s">
        <v>31</v>
      </c>
      <c r="D51" s="6">
        <v>2406448</v>
      </c>
      <c r="E51" s="6">
        <v>79828631</v>
      </c>
      <c r="F51" s="6">
        <v>14625248</v>
      </c>
      <c r="G51" s="6">
        <v>1914228033.5198894</v>
      </c>
      <c r="H51" s="7">
        <v>795.45788378999998</v>
      </c>
      <c r="I51" s="8">
        <v>0.27424709000000003</v>
      </c>
      <c r="J51" s="8">
        <v>0.27427459999999998</v>
      </c>
      <c r="K51" s="8">
        <v>1.7308499999999999E-3</v>
      </c>
      <c r="L51" s="7">
        <v>23.979216709999999</v>
      </c>
      <c r="M51" s="7">
        <v>130.88516745000001</v>
      </c>
      <c r="N51" s="8">
        <v>7.5805300000000003E-3</v>
      </c>
      <c r="O51" s="7">
        <v>33.172805160000003</v>
      </c>
      <c r="P51" s="7">
        <v>6.0775250500000002</v>
      </c>
    </row>
    <row r="52" spans="1:16" x14ac:dyDescent="0.2">
      <c r="A52" s="3" t="s">
        <v>18</v>
      </c>
      <c r="B52" s="5">
        <v>45931</v>
      </c>
      <c r="C52" s="5" t="s">
        <v>30</v>
      </c>
      <c r="D52" s="6">
        <v>4390584</v>
      </c>
      <c r="E52" s="6">
        <v>381497233</v>
      </c>
      <c r="F52" s="6">
        <v>56672645</v>
      </c>
      <c r="G52" s="6">
        <v>12371310602.639135</v>
      </c>
      <c r="H52" s="7">
        <v>2817.69136011</v>
      </c>
      <c r="I52" s="8">
        <v>0.50036605000000001</v>
      </c>
      <c r="J52" s="8">
        <v>0.50041623999999996</v>
      </c>
      <c r="K52" s="8">
        <v>1.118618E-2</v>
      </c>
      <c r="L52" s="7">
        <v>32.428310170000003</v>
      </c>
      <c r="M52" s="7">
        <v>218.29421574</v>
      </c>
      <c r="N52" s="8">
        <v>3.6226979999999999E-2</v>
      </c>
      <c r="O52" s="7">
        <v>86.889860900000002</v>
      </c>
      <c r="P52" s="7">
        <v>12.90776923</v>
      </c>
    </row>
    <row r="53" spans="1:16" x14ac:dyDescent="0.2">
      <c r="A53" s="3" t="s">
        <v>17</v>
      </c>
      <c r="B53" s="5">
        <v>45931</v>
      </c>
      <c r="C53" s="5" t="s">
        <v>30</v>
      </c>
      <c r="D53" s="6">
        <v>5131368</v>
      </c>
      <c r="E53" s="6">
        <v>380891381</v>
      </c>
      <c r="F53" s="6">
        <v>150359502</v>
      </c>
      <c r="G53" s="6">
        <v>33530886374.52536</v>
      </c>
      <c r="H53" s="7">
        <v>6534.4926293600001</v>
      </c>
      <c r="I53" s="8">
        <v>0.58478834000000002</v>
      </c>
      <c r="J53" s="8">
        <v>0.58484700000000001</v>
      </c>
      <c r="K53" s="8">
        <v>3.0318729999999999E-2</v>
      </c>
      <c r="L53" s="7">
        <v>88.032672910000002</v>
      </c>
      <c r="M53" s="7">
        <v>223.00477071</v>
      </c>
      <c r="N53" s="8">
        <v>3.6169449999999999E-2</v>
      </c>
      <c r="O53" s="7">
        <v>74.22803845</v>
      </c>
      <c r="P53" s="7">
        <v>29.30203066</v>
      </c>
    </row>
    <row r="54" spans="1:16" x14ac:dyDescent="0.2">
      <c r="A54" s="3" t="s">
        <v>21</v>
      </c>
      <c r="B54" s="5">
        <v>45931</v>
      </c>
      <c r="C54" s="5" t="s">
        <v>32</v>
      </c>
      <c r="D54" s="6">
        <v>2510376</v>
      </c>
      <c r="E54" s="6">
        <v>114336321</v>
      </c>
      <c r="F54" s="6">
        <v>43396648</v>
      </c>
      <c r="G54" s="6">
        <v>7431987023.1191597</v>
      </c>
      <c r="H54" s="7">
        <v>2960.5075188400001</v>
      </c>
      <c r="I54" s="8">
        <v>0.28609108</v>
      </c>
      <c r="J54" s="8">
        <v>0.28611977999999999</v>
      </c>
      <c r="K54" s="8">
        <v>6.7200300000000001E-3</v>
      </c>
      <c r="L54" s="7">
        <v>65.001103650000005</v>
      </c>
      <c r="M54" s="7">
        <v>171.25716672999999</v>
      </c>
      <c r="N54" s="8">
        <v>1.085738E-2</v>
      </c>
      <c r="O54" s="7">
        <v>45.545496200000002</v>
      </c>
      <c r="P54" s="7">
        <v>17.286911700000001</v>
      </c>
    </row>
    <row r="55" spans="1:16" x14ac:dyDescent="0.2">
      <c r="A55" s="3" t="s">
        <v>20</v>
      </c>
      <c r="B55" s="5">
        <v>45931</v>
      </c>
      <c r="C55" s="5" t="s">
        <v>31</v>
      </c>
      <c r="D55" s="6">
        <v>3561800</v>
      </c>
      <c r="E55" s="6">
        <v>155592613</v>
      </c>
      <c r="F55" s="6">
        <v>70906736</v>
      </c>
      <c r="G55" s="6">
        <v>11657768996.718931</v>
      </c>
      <c r="H55" s="7">
        <v>3272.9993252600002</v>
      </c>
      <c r="I55" s="8">
        <v>0.40591497999999998</v>
      </c>
      <c r="J55" s="8">
        <v>0.40595568999999998</v>
      </c>
      <c r="K55" s="8">
        <v>1.054099E-2</v>
      </c>
      <c r="L55" s="7">
        <v>74.924951800000002</v>
      </c>
      <c r="M55" s="7">
        <v>164.40989540999999</v>
      </c>
      <c r="N55" s="8">
        <v>1.4775079999999999E-2</v>
      </c>
      <c r="O55" s="7">
        <v>43.683702779999997</v>
      </c>
      <c r="P55" s="7">
        <v>19.907556759999999</v>
      </c>
    </row>
    <row r="56" spans="1:16" x14ac:dyDescent="0.2">
      <c r="A56" s="3" t="s">
        <v>22</v>
      </c>
      <c r="B56" s="5">
        <v>45962</v>
      </c>
      <c r="C56" s="5" t="s">
        <v>30</v>
      </c>
      <c r="D56" s="6">
        <v>3108512</v>
      </c>
      <c r="E56" s="6">
        <v>53237002</v>
      </c>
      <c r="F56" s="6">
        <v>24251438</v>
      </c>
      <c r="G56" s="6">
        <v>4105614523.1194563</v>
      </c>
      <c r="H56" s="7">
        <v>1320.765216</v>
      </c>
      <c r="I56" s="8">
        <v>0.35437044000000001</v>
      </c>
      <c r="J56" s="8">
        <v>0.35442378000000002</v>
      </c>
      <c r="K56" s="8">
        <v>3.1652500000000001E-3</v>
      </c>
      <c r="L56" s="7">
        <v>77.11956687</v>
      </c>
      <c r="M56" s="7">
        <v>169.29365440999999</v>
      </c>
      <c r="N56" s="8">
        <v>5.2961299999999996E-3</v>
      </c>
      <c r="O56" s="7">
        <v>17.126201170000002</v>
      </c>
      <c r="P56" s="7">
        <v>7.8016226900000003</v>
      </c>
    </row>
    <row r="57" spans="1:16" x14ac:dyDescent="0.2">
      <c r="A57" s="3" t="s">
        <v>15</v>
      </c>
      <c r="B57" s="5">
        <v>45962</v>
      </c>
      <c r="C57" s="5"/>
      <c r="D57" s="6">
        <v>8770608</v>
      </c>
      <c r="E57" s="6">
        <v>10052060058</v>
      </c>
      <c r="F57" s="6" t="s">
        <v>16</v>
      </c>
      <c r="G57" s="6">
        <v>1297092162732.9622</v>
      </c>
      <c r="H57" s="7">
        <v>147890.79191920999</v>
      </c>
      <c r="I57" s="8">
        <v>0.99984952000000005</v>
      </c>
      <c r="J57" s="8">
        <v>1</v>
      </c>
      <c r="K57" s="8">
        <v>1</v>
      </c>
      <c r="L57" s="7">
        <v>129.03744656999999</v>
      </c>
      <c r="M57" s="3" t="s">
        <v>16</v>
      </c>
      <c r="N57" s="8">
        <v>1</v>
      </c>
      <c r="O57" s="7">
        <v>1146.1075513200001</v>
      </c>
      <c r="P57" s="7" t="s">
        <v>16</v>
      </c>
    </row>
    <row r="58" spans="1:16" x14ac:dyDescent="0.2">
      <c r="A58" s="3" t="s">
        <v>23</v>
      </c>
      <c r="B58" s="5">
        <v>45962</v>
      </c>
      <c r="C58" s="5" t="s">
        <v>31</v>
      </c>
      <c r="D58" s="6">
        <v>2053216</v>
      </c>
      <c r="E58" s="6">
        <v>70933029</v>
      </c>
      <c r="F58" s="6">
        <v>15989976</v>
      </c>
      <c r="G58" s="6">
        <v>3254334296.3998218</v>
      </c>
      <c r="H58" s="7">
        <v>1584.9936374900001</v>
      </c>
      <c r="I58" s="8">
        <v>0.23406667</v>
      </c>
      <c r="J58" s="8">
        <v>0.2341019</v>
      </c>
      <c r="K58" s="8">
        <v>2.5089499999999998E-3</v>
      </c>
      <c r="L58" s="7">
        <v>45.878969689999998</v>
      </c>
      <c r="M58" s="7">
        <v>203.52340398999999</v>
      </c>
      <c r="N58" s="8">
        <v>7.0565699999999999E-3</v>
      </c>
      <c r="O58" s="7">
        <v>34.547280559999997</v>
      </c>
      <c r="P58" s="7">
        <v>7.7877708700000001</v>
      </c>
    </row>
    <row r="59" spans="1:16" x14ac:dyDescent="0.2">
      <c r="A59" s="3" t="s">
        <v>19</v>
      </c>
      <c r="B59" s="5">
        <v>45962</v>
      </c>
      <c r="C59" s="5" t="s">
        <v>30</v>
      </c>
      <c r="D59" s="6">
        <v>4197072</v>
      </c>
      <c r="E59" s="6">
        <v>68320725</v>
      </c>
      <c r="F59" s="6">
        <v>31423084</v>
      </c>
      <c r="G59" s="6">
        <v>3701553113.279449</v>
      </c>
      <c r="H59" s="7">
        <v>881.93700591000004</v>
      </c>
      <c r="I59" s="8">
        <v>0.47846631000000001</v>
      </c>
      <c r="J59" s="8">
        <v>0.47853832000000002</v>
      </c>
      <c r="K59" s="8">
        <v>2.8537300000000001E-3</v>
      </c>
      <c r="L59" s="7">
        <v>54.179067000000003</v>
      </c>
      <c r="M59" s="7">
        <v>117.79725737</v>
      </c>
      <c r="N59" s="8">
        <v>6.7966900000000002E-3</v>
      </c>
      <c r="O59" s="7">
        <v>16.2781874</v>
      </c>
      <c r="P59" s="7">
        <v>7.4869061099999996</v>
      </c>
    </row>
    <row r="60" spans="1:16" x14ac:dyDescent="0.2">
      <c r="A60" s="3" t="s">
        <v>24</v>
      </c>
      <c r="B60" s="5">
        <v>45962</v>
      </c>
      <c r="C60" s="5" t="s">
        <v>31</v>
      </c>
      <c r="D60" s="6">
        <v>2467520</v>
      </c>
      <c r="E60" s="6">
        <v>80646855</v>
      </c>
      <c r="F60" s="6">
        <v>14912036</v>
      </c>
      <c r="G60" s="6">
        <v>1892907019.5198879</v>
      </c>
      <c r="H60" s="7">
        <v>767.12935234999998</v>
      </c>
      <c r="I60" s="8">
        <v>0.28129734000000001</v>
      </c>
      <c r="J60" s="8">
        <v>0.28133966999999999</v>
      </c>
      <c r="K60" s="8">
        <v>1.4593500000000001E-3</v>
      </c>
      <c r="L60" s="7">
        <v>23.4715542</v>
      </c>
      <c r="M60" s="7">
        <v>126.93820417000001</v>
      </c>
      <c r="N60" s="8">
        <v>8.0229199999999994E-3</v>
      </c>
      <c r="O60" s="7">
        <v>32.68336412</v>
      </c>
      <c r="P60" s="7">
        <v>6.0433291699999998</v>
      </c>
    </row>
    <row r="61" spans="1:16" x14ac:dyDescent="0.2">
      <c r="A61" s="3" t="s">
        <v>18</v>
      </c>
      <c r="B61" s="5">
        <v>45962</v>
      </c>
      <c r="C61" s="5" t="s">
        <v>30</v>
      </c>
      <c r="D61" s="6">
        <v>4197336</v>
      </c>
      <c r="E61" s="6">
        <v>354034237</v>
      </c>
      <c r="F61" s="6">
        <v>51068482</v>
      </c>
      <c r="G61" s="6">
        <v>11037126528.559031</v>
      </c>
      <c r="H61" s="7">
        <v>2629.5551579799999</v>
      </c>
      <c r="I61" s="8">
        <v>0.47849639999999999</v>
      </c>
      <c r="J61" s="8">
        <v>0.47856841999999999</v>
      </c>
      <c r="K61" s="8">
        <v>8.5091300000000002E-3</v>
      </c>
      <c r="L61" s="7">
        <v>31.17530841</v>
      </c>
      <c r="M61" s="7">
        <v>216.12403735000001</v>
      </c>
      <c r="N61" s="8">
        <v>3.5220069999999999E-2</v>
      </c>
      <c r="O61" s="7">
        <v>84.347366289999997</v>
      </c>
      <c r="P61" s="7">
        <v>12.166879679999999</v>
      </c>
    </row>
    <row r="62" spans="1:16" x14ac:dyDescent="0.2">
      <c r="A62" s="3" t="s">
        <v>17</v>
      </c>
      <c r="B62" s="5">
        <v>45962</v>
      </c>
      <c r="C62" s="5" t="s">
        <v>30</v>
      </c>
      <c r="D62" s="6">
        <v>4701664</v>
      </c>
      <c r="E62" s="6">
        <v>294054809</v>
      </c>
      <c r="F62" s="6">
        <v>133071931</v>
      </c>
      <c r="G62" s="6">
        <v>27027987361.793423</v>
      </c>
      <c r="H62" s="7">
        <v>5748.6003597400004</v>
      </c>
      <c r="I62" s="8">
        <v>0.53598981000000001</v>
      </c>
      <c r="J62" s="8">
        <v>0.53607048000000002</v>
      </c>
      <c r="K62" s="8">
        <v>2.0837370000000001E-2</v>
      </c>
      <c r="L62" s="7">
        <v>91.914794580000006</v>
      </c>
      <c r="M62" s="7">
        <v>203.10810275</v>
      </c>
      <c r="N62" s="8">
        <v>2.9253189999999998E-2</v>
      </c>
      <c r="O62" s="7">
        <v>62.542710190000001</v>
      </c>
      <c r="P62" s="7">
        <v>28.303156210000001</v>
      </c>
    </row>
    <row r="63" spans="1:16" x14ac:dyDescent="0.2">
      <c r="A63" s="3" t="s">
        <v>21</v>
      </c>
      <c r="B63" s="5">
        <v>45962</v>
      </c>
      <c r="C63" s="5" t="s">
        <v>32</v>
      </c>
      <c r="D63" s="6">
        <v>2354352</v>
      </c>
      <c r="E63" s="6">
        <v>109531256</v>
      </c>
      <c r="F63" s="6">
        <v>41615543</v>
      </c>
      <c r="G63" s="6">
        <v>7118514033.8392229</v>
      </c>
      <c r="H63" s="7">
        <v>3023.5555404800002</v>
      </c>
      <c r="I63" s="8">
        <v>0.26839617999999998</v>
      </c>
      <c r="J63" s="8">
        <v>0.26843657999999998</v>
      </c>
      <c r="K63" s="8">
        <v>5.4880600000000003E-3</v>
      </c>
      <c r="L63" s="7">
        <v>64.990709629999998</v>
      </c>
      <c r="M63" s="7">
        <v>171.05421404000001</v>
      </c>
      <c r="N63" s="8">
        <v>1.0896400000000001E-2</v>
      </c>
      <c r="O63" s="7">
        <v>46.522888539999997</v>
      </c>
      <c r="P63" s="7">
        <v>17.676007330000001</v>
      </c>
    </row>
    <row r="64" spans="1:16" x14ac:dyDescent="0.2">
      <c r="A64" s="3" t="s">
        <v>20</v>
      </c>
      <c r="B64" s="5">
        <v>45962</v>
      </c>
      <c r="C64" s="5" t="s">
        <v>31</v>
      </c>
      <c r="D64" s="6">
        <v>3545432</v>
      </c>
      <c r="E64" s="6">
        <v>143063063</v>
      </c>
      <c r="F64" s="6">
        <v>67267908</v>
      </c>
      <c r="G64" s="6">
        <v>10966745999.438974</v>
      </c>
      <c r="H64" s="7">
        <v>3093.2044386799998</v>
      </c>
      <c r="I64" s="8">
        <v>0.40417933</v>
      </c>
      <c r="J64" s="8">
        <v>0.40424016000000002</v>
      </c>
      <c r="K64" s="8">
        <v>8.4548699999999997E-3</v>
      </c>
      <c r="L64" s="7">
        <v>76.656726079999999</v>
      </c>
      <c r="M64" s="7">
        <v>163.03087550000001</v>
      </c>
      <c r="N64" s="8">
        <v>1.423221E-2</v>
      </c>
      <c r="O64" s="7">
        <v>40.351376799999997</v>
      </c>
      <c r="P64" s="7">
        <v>18.97312045</v>
      </c>
    </row>
    <row r="65" spans="1:16" x14ac:dyDescent="0.2">
      <c r="A65" s="3" t="s">
        <v>22</v>
      </c>
      <c r="B65" s="5">
        <v>45992</v>
      </c>
      <c r="C65" s="5" t="s">
        <v>30</v>
      </c>
      <c r="D65" s="6">
        <v>3131216</v>
      </c>
      <c r="E65" s="6">
        <v>50060107</v>
      </c>
      <c r="F65" s="6">
        <v>22259143</v>
      </c>
      <c r="G65" s="6">
        <v>3630429460.2395525</v>
      </c>
      <c r="H65" s="7">
        <v>1159.43117953</v>
      </c>
      <c r="I65" s="8">
        <v>0.35675469999999998</v>
      </c>
      <c r="J65" s="8">
        <v>0.35679404999999997</v>
      </c>
      <c r="K65" s="8">
        <v>2.61766E-3</v>
      </c>
      <c r="L65" s="7">
        <v>72.521408609999995</v>
      </c>
      <c r="M65" s="7">
        <v>163.09834635000001</v>
      </c>
      <c r="N65" s="8">
        <v>5.1326999999999996E-3</v>
      </c>
      <c r="O65" s="7">
        <v>15.98743325</v>
      </c>
      <c r="P65" s="7">
        <v>7.1087856199999999</v>
      </c>
    </row>
    <row r="66" spans="1:16" x14ac:dyDescent="0.2">
      <c r="A66" s="3" t="s">
        <v>15</v>
      </c>
      <c r="B66" s="5">
        <v>45992</v>
      </c>
      <c r="C66" s="5"/>
      <c r="D66" s="6">
        <v>8775976</v>
      </c>
      <c r="E66" s="6">
        <v>9753174753</v>
      </c>
      <c r="F66" s="6" t="s">
        <v>16</v>
      </c>
      <c r="G66" s="6">
        <v>1386897151127.8235</v>
      </c>
      <c r="H66" s="7">
        <v>158033.38011952001</v>
      </c>
      <c r="I66" s="8">
        <v>0.99988971000000004</v>
      </c>
      <c r="J66" s="8">
        <v>1</v>
      </c>
      <c r="K66" s="8">
        <v>1</v>
      </c>
      <c r="L66" s="7">
        <v>142.19955924999999</v>
      </c>
      <c r="M66" s="3" t="s">
        <v>16</v>
      </c>
      <c r="N66" s="8">
        <v>1</v>
      </c>
      <c r="O66" s="7">
        <v>1111.3492963799999</v>
      </c>
      <c r="P66" s="7" t="s">
        <v>16</v>
      </c>
    </row>
    <row r="67" spans="1:16" x14ac:dyDescent="0.2">
      <c r="A67" s="3" t="s">
        <v>23</v>
      </c>
      <c r="B67" s="5">
        <v>45992</v>
      </c>
      <c r="C67" s="5" t="s">
        <v>31</v>
      </c>
      <c r="D67" s="6">
        <v>2322672</v>
      </c>
      <c r="E67" s="6">
        <v>81620827</v>
      </c>
      <c r="F67" s="6">
        <v>19343901</v>
      </c>
      <c r="G67" s="6">
        <v>3790362397.3597655</v>
      </c>
      <c r="H67" s="7">
        <v>1631.89739979</v>
      </c>
      <c r="I67" s="8">
        <v>0.26463333999999999</v>
      </c>
      <c r="J67" s="8">
        <v>0.26466253000000001</v>
      </c>
      <c r="K67" s="8">
        <v>2.7329799999999999E-3</v>
      </c>
      <c r="L67" s="7">
        <v>46.438666789999999</v>
      </c>
      <c r="M67" s="7">
        <v>195.94611979000001</v>
      </c>
      <c r="N67" s="8">
        <v>8.3686400000000001E-3</v>
      </c>
      <c r="O67" s="7">
        <v>35.140918390000003</v>
      </c>
      <c r="P67" s="7">
        <v>8.3282965799999999</v>
      </c>
    </row>
    <row r="68" spans="1:16" x14ac:dyDescent="0.2">
      <c r="A68" s="3" t="s">
        <v>19</v>
      </c>
      <c r="B68" s="5">
        <v>45992</v>
      </c>
      <c r="C68" s="5" t="s">
        <v>30</v>
      </c>
      <c r="D68" s="6">
        <v>4289120</v>
      </c>
      <c r="E68" s="6">
        <v>70491348</v>
      </c>
      <c r="F68" s="6">
        <v>33790012</v>
      </c>
      <c r="G68" s="6">
        <v>3907767061.4393811</v>
      </c>
      <c r="H68" s="7">
        <v>911.08830282999998</v>
      </c>
      <c r="I68" s="8">
        <v>0.48868033999999999</v>
      </c>
      <c r="J68" s="8">
        <v>0.48873423999999999</v>
      </c>
      <c r="K68" s="8">
        <v>2.8176299999999998E-3</v>
      </c>
      <c r="L68" s="7">
        <v>55.436123709999997</v>
      </c>
      <c r="M68" s="7">
        <v>115.64858433000001</v>
      </c>
      <c r="N68" s="8">
        <v>7.2275300000000002E-3</v>
      </c>
      <c r="O68" s="7">
        <v>16.4349208</v>
      </c>
      <c r="P68" s="7">
        <v>7.8780757100000001</v>
      </c>
    </row>
    <row r="69" spans="1:16" x14ac:dyDescent="0.2">
      <c r="A69" s="3" t="s">
        <v>24</v>
      </c>
      <c r="B69" s="5">
        <v>45992</v>
      </c>
      <c r="C69" s="5" t="s">
        <v>31</v>
      </c>
      <c r="D69" s="6">
        <v>3028432</v>
      </c>
      <c r="E69" s="6">
        <v>96923282</v>
      </c>
      <c r="F69" s="6">
        <v>21448403</v>
      </c>
      <c r="G69" s="6">
        <v>2850888013.59972</v>
      </c>
      <c r="H69" s="7">
        <v>941.37428663000003</v>
      </c>
      <c r="I69" s="8">
        <v>0.34504402000000001</v>
      </c>
      <c r="J69" s="8">
        <v>0.34508207000000002</v>
      </c>
      <c r="K69" s="8">
        <v>2.0555899999999999E-3</v>
      </c>
      <c r="L69" s="7">
        <v>29.41386176</v>
      </c>
      <c r="M69" s="7">
        <v>132.91842940999999</v>
      </c>
      <c r="N69" s="8">
        <v>9.9376099999999995E-3</v>
      </c>
      <c r="O69" s="7">
        <v>32.00444383</v>
      </c>
      <c r="P69" s="7">
        <v>7.0823458500000003</v>
      </c>
    </row>
    <row r="70" spans="1:16" x14ac:dyDescent="0.2">
      <c r="A70" s="3" t="s">
        <v>18</v>
      </c>
      <c r="B70" s="5">
        <v>45992</v>
      </c>
      <c r="C70" s="5" t="s">
        <v>30</v>
      </c>
      <c r="D70" s="6">
        <v>4263072</v>
      </c>
      <c r="E70" s="6">
        <v>321053166</v>
      </c>
      <c r="F70" s="6">
        <v>52962430</v>
      </c>
      <c r="G70" s="6">
        <v>11163786759.83897</v>
      </c>
      <c r="H70" s="7">
        <v>2618.7187924200002</v>
      </c>
      <c r="I70" s="8">
        <v>0.48571257000000001</v>
      </c>
      <c r="J70" s="8">
        <v>0.48576614000000001</v>
      </c>
      <c r="K70" s="8">
        <v>8.0494699999999995E-3</v>
      </c>
      <c r="L70" s="7">
        <v>34.772392699999997</v>
      </c>
      <c r="M70" s="7">
        <v>210.78690802</v>
      </c>
      <c r="N70" s="8">
        <v>3.2917809999999999E-2</v>
      </c>
      <c r="O70" s="7">
        <v>75.310284659999994</v>
      </c>
      <c r="P70" s="7">
        <v>12.42353625</v>
      </c>
    </row>
    <row r="71" spans="1:16" x14ac:dyDescent="0.2">
      <c r="A71" s="3" t="s">
        <v>17</v>
      </c>
      <c r="B71" s="5">
        <v>45992</v>
      </c>
      <c r="C71" s="5" t="s">
        <v>30</v>
      </c>
      <c r="D71" s="6">
        <v>4895088</v>
      </c>
      <c r="E71" s="6">
        <v>289387771</v>
      </c>
      <c r="F71" s="6">
        <v>140089558</v>
      </c>
      <c r="G71" s="6">
        <v>25934112352.751183</v>
      </c>
      <c r="H71" s="7">
        <v>5297.9869519699996</v>
      </c>
      <c r="I71" s="8">
        <v>0.55772122999999996</v>
      </c>
      <c r="J71" s="8">
        <v>0.55778274999999999</v>
      </c>
      <c r="K71" s="8">
        <v>1.8699380000000002E-2</v>
      </c>
      <c r="L71" s="7">
        <v>89.617167460000005</v>
      </c>
      <c r="M71" s="7">
        <v>185.12523568</v>
      </c>
      <c r="N71" s="8">
        <v>2.9671139999999999E-2</v>
      </c>
      <c r="O71" s="7">
        <v>59.117991590000003</v>
      </c>
      <c r="P71" s="7">
        <v>28.6183941</v>
      </c>
    </row>
    <row r="72" spans="1:16" x14ac:dyDescent="0.2">
      <c r="A72" s="3" t="s">
        <v>21</v>
      </c>
      <c r="B72" s="5">
        <v>45992</v>
      </c>
      <c r="C72" s="5" t="s">
        <v>32</v>
      </c>
      <c r="D72" s="6">
        <v>2517328</v>
      </c>
      <c r="E72" s="6">
        <v>104617430</v>
      </c>
      <c r="F72" s="6">
        <v>43239708</v>
      </c>
      <c r="G72" s="6">
        <v>6638622058.6391935</v>
      </c>
      <c r="H72" s="7">
        <v>2637.1700702600001</v>
      </c>
      <c r="I72" s="8">
        <v>0.28681145000000002</v>
      </c>
      <c r="J72" s="8">
        <v>0.28684307999999997</v>
      </c>
      <c r="K72" s="8">
        <v>4.7866699999999998E-3</v>
      </c>
      <c r="L72" s="7">
        <v>63.456176169999999</v>
      </c>
      <c r="M72" s="7">
        <v>153.53068605999999</v>
      </c>
      <c r="N72" s="8">
        <v>1.07265E-2</v>
      </c>
      <c r="O72" s="7">
        <v>41.558918759999997</v>
      </c>
      <c r="P72" s="7">
        <v>17.176827240000001</v>
      </c>
    </row>
    <row r="73" spans="1:16" x14ac:dyDescent="0.2">
      <c r="A73" s="3" t="s">
        <v>20</v>
      </c>
      <c r="B73" s="5">
        <v>45992</v>
      </c>
      <c r="C73" s="5" t="s">
        <v>31</v>
      </c>
      <c r="D73" s="6">
        <v>3727064</v>
      </c>
      <c r="E73" s="6">
        <v>149985317</v>
      </c>
      <c r="F73" s="6">
        <v>72893642</v>
      </c>
      <c r="G73" s="6">
        <v>11427920996.79887</v>
      </c>
      <c r="H73" s="7">
        <v>3066.1992916700001</v>
      </c>
      <c r="I73" s="8">
        <v>0.42464256</v>
      </c>
      <c r="J73" s="8">
        <v>0.42468939999999999</v>
      </c>
      <c r="K73" s="8">
        <v>8.2399199999999995E-3</v>
      </c>
      <c r="L73" s="7">
        <v>76.193598420000001</v>
      </c>
      <c r="M73" s="7">
        <v>156.77527828000001</v>
      </c>
      <c r="N73" s="8">
        <v>1.53781E-2</v>
      </c>
      <c r="O73" s="7">
        <v>40.24221661</v>
      </c>
      <c r="P73" s="7">
        <v>19.557925999999998</v>
      </c>
    </row>
    <row r="74" spans="1:16" x14ac:dyDescent="0.2">
      <c r="A74" s="3" t="s">
        <v>22</v>
      </c>
      <c r="B74" s="5">
        <v>46023</v>
      </c>
      <c r="C74" s="5" t="s">
        <v>30</v>
      </c>
      <c r="D74" s="6">
        <v>3354032</v>
      </c>
      <c r="E74" s="6">
        <v>53328711</v>
      </c>
      <c r="F74" s="6">
        <v>26871529</v>
      </c>
      <c r="G74" s="6">
        <v>4389984780.7193375</v>
      </c>
      <c r="H74" s="7">
        <v>1308.8678881799999</v>
      </c>
      <c r="I74" s="8">
        <v>0.37872373999999998</v>
      </c>
      <c r="J74" s="8">
        <v>0.37874632000000003</v>
      </c>
      <c r="K74" s="8">
        <v>2.79445E-3</v>
      </c>
      <c r="L74" s="7">
        <v>82.319349090000003</v>
      </c>
      <c r="M74" s="7">
        <v>163.36937282</v>
      </c>
      <c r="N74" s="8">
        <v>4.7739200000000001E-3</v>
      </c>
      <c r="O74" s="7">
        <v>15.899881410000001</v>
      </c>
      <c r="P74" s="7">
        <v>8.0117090799999993</v>
      </c>
    </row>
    <row r="75" spans="1:16" x14ac:dyDescent="0.2">
      <c r="A75" s="3" t="s">
        <v>15</v>
      </c>
      <c r="B75" s="5">
        <v>46023</v>
      </c>
      <c r="C75" s="5"/>
      <c r="D75" s="6">
        <v>8855616</v>
      </c>
      <c r="E75" s="6">
        <v>11170850511</v>
      </c>
      <c r="F75" s="6" t="s">
        <v>16</v>
      </c>
      <c r="G75" s="6">
        <v>1570965422774.8928</v>
      </c>
      <c r="H75" s="7">
        <v>177397.64492666</v>
      </c>
      <c r="I75" s="8">
        <v>0.99994037999999996</v>
      </c>
      <c r="J75" s="8">
        <v>1</v>
      </c>
      <c r="K75" s="8">
        <v>1</v>
      </c>
      <c r="L75" s="7">
        <v>140.63078019</v>
      </c>
      <c r="M75" s="3" t="s">
        <v>16</v>
      </c>
      <c r="N75" s="8">
        <v>1</v>
      </c>
      <c r="O75" s="7">
        <v>1261.44251411</v>
      </c>
      <c r="P75" s="7" t="s">
        <v>16</v>
      </c>
    </row>
    <row r="76" spans="1:16" x14ac:dyDescent="0.2">
      <c r="A76" s="3" t="s">
        <v>23</v>
      </c>
      <c r="B76" s="5">
        <v>46023</v>
      </c>
      <c r="C76" s="5" t="s">
        <v>31</v>
      </c>
      <c r="D76" s="6">
        <v>2470160</v>
      </c>
      <c r="E76" s="6">
        <v>90186554</v>
      </c>
      <c r="F76" s="6">
        <v>20738924</v>
      </c>
      <c r="G76" s="6">
        <v>4060737353.1997318</v>
      </c>
      <c r="H76" s="7">
        <v>1643.91673139</v>
      </c>
      <c r="I76" s="8">
        <v>0.27892049000000002</v>
      </c>
      <c r="J76" s="8">
        <v>0.27893711999999998</v>
      </c>
      <c r="K76" s="8">
        <v>2.58487E-3</v>
      </c>
      <c r="L76" s="7">
        <v>45.025973290000003</v>
      </c>
      <c r="M76" s="7">
        <v>195.80270263</v>
      </c>
      <c r="N76" s="8">
        <v>8.0733799999999998E-3</v>
      </c>
      <c r="O76" s="7">
        <v>36.510409690000003</v>
      </c>
      <c r="P76" s="7">
        <v>8.3957816199999993</v>
      </c>
    </row>
    <row r="77" spans="1:16" x14ac:dyDescent="0.2">
      <c r="A77" s="3" t="s">
        <v>19</v>
      </c>
      <c r="B77" s="5">
        <v>46023</v>
      </c>
      <c r="C77" s="5" t="s">
        <v>30</v>
      </c>
      <c r="D77" s="6">
        <v>4315080</v>
      </c>
      <c r="E77" s="6">
        <v>78339101</v>
      </c>
      <c r="F77" s="6">
        <v>37502599</v>
      </c>
      <c r="G77" s="6">
        <v>4333119385.7592688</v>
      </c>
      <c r="H77" s="7">
        <v>1004.18054492</v>
      </c>
      <c r="I77" s="8">
        <v>0.48724139999999999</v>
      </c>
      <c r="J77" s="8">
        <v>0.48727045000000002</v>
      </c>
      <c r="K77" s="8">
        <v>2.7582499999999999E-3</v>
      </c>
      <c r="L77" s="7">
        <v>55.312344860000003</v>
      </c>
      <c r="M77" s="7">
        <v>115.54184185</v>
      </c>
      <c r="N77" s="8">
        <v>7.0128100000000004E-3</v>
      </c>
      <c r="O77" s="7">
        <v>18.154727439999998</v>
      </c>
      <c r="P77" s="7">
        <v>8.6910553700000008</v>
      </c>
    </row>
    <row r="78" spans="1:16" x14ac:dyDescent="0.2">
      <c r="A78" s="3" t="s">
        <v>24</v>
      </c>
      <c r="B78" s="5">
        <v>46023</v>
      </c>
      <c r="C78" s="5" t="s">
        <v>31</v>
      </c>
      <c r="D78" s="6">
        <v>2841432</v>
      </c>
      <c r="E78" s="6">
        <v>82013760</v>
      </c>
      <c r="F78" s="6">
        <v>19418111</v>
      </c>
      <c r="G78" s="6">
        <v>2650158133.9197631</v>
      </c>
      <c r="H78" s="7">
        <v>932.68398959000001</v>
      </c>
      <c r="I78" s="8">
        <v>0.32084301999999998</v>
      </c>
      <c r="J78" s="8">
        <v>0.32086215000000001</v>
      </c>
      <c r="K78" s="8">
        <v>1.6869599999999999E-3</v>
      </c>
      <c r="L78" s="7">
        <v>32.313579099999998</v>
      </c>
      <c r="M78" s="7">
        <v>136.47868020000001</v>
      </c>
      <c r="N78" s="8">
        <v>7.3417700000000001E-3</v>
      </c>
      <c r="O78" s="7">
        <v>28.863530919999999</v>
      </c>
      <c r="P78" s="7">
        <v>6.8339171199999997</v>
      </c>
    </row>
    <row r="79" spans="1:16" x14ac:dyDescent="0.2">
      <c r="A79" s="3" t="s">
        <v>18</v>
      </c>
      <c r="B79" s="5">
        <v>46023</v>
      </c>
      <c r="C79" s="5" t="s">
        <v>30</v>
      </c>
      <c r="D79" s="6">
        <v>4256824</v>
      </c>
      <c r="E79" s="6">
        <v>384847817</v>
      </c>
      <c r="F79" s="6">
        <v>55743288</v>
      </c>
      <c r="G79" s="6">
        <v>12443422666.399052</v>
      </c>
      <c r="H79" s="7">
        <v>2923.17057656</v>
      </c>
      <c r="I79" s="8">
        <v>0.48066336999999998</v>
      </c>
      <c r="J79" s="8">
        <v>0.48069202999999999</v>
      </c>
      <c r="K79" s="8">
        <v>7.9208799999999999E-3</v>
      </c>
      <c r="L79" s="7">
        <v>32.333359080000001</v>
      </c>
      <c r="M79" s="7">
        <v>223.22728000999999</v>
      </c>
      <c r="N79" s="8">
        <v>3.4451080000000002E-2</v>
      </c>
      <c r="O79" s="7">
        <v>90.407265420000002</v>
      </c>
      <c r="P79" s="7">
        <v>13.09504186</v>
      </c>
    </row>
    <row r="80" spans="1:16" x14ac:dyDescent="0.2">
      <c r="A80" s="3" t="s">
        <v>17</v>
      </c>
      <c r="B80" s="5">
        <v>46023</v>
      </c>
      <c r="C80" s="5" t="s">
        <v>30</v>
      </c>
      <c r="D80" s="6">
        <v>4997256</v>
      </c>
      <c r="E80" s="6">
        <v>350331025</v>
      </c>
      <c r="F80" s="6">
        <v>161117506</v>
      </c>
      <c r="G80" s="6">
        <v>31747932724.689396</v>
      </c>
      <c r="H80" s="7">
        <v>6353.0731114600003</v>
      </c>
      <c r="I80" s="8">
        <v>0.56426995999999996</v>
      </c>
      <c r="J80" s="8">
        <v>0.56430360000000002</v>
      </c>
      <c r="K80" s="8">
        <v>2.0209189999999998E-2</v>
      </c>
      <c r="L80" s="7">
        <v>90.622669700000003</v>
      </c>
      <c r="M80" s="7">
        <v>197.04831282999999</v>
      </c>
      <c r="N80" s="8">
        <v>3.1361180000000002E-2</v>
      </c>
      <c r="O80" s="7">
        <v>70.104678359999994</v>
      </c>
      <c r="P80" s="7">
        <v>32.241195169999997</v>
      </c>
    </row>
    <row r="81" spans="1:16" x14ac:dyDescent="0.2">
      <c r="A81" s="3" t="s">
        <v>21</v>
      </c>
      <c r="B81" s="5">
        <v>46023</v>
      </c>
      <c r="C81" s="5" t="s">
        <v>32</v>
      </c>
      <c r="D81" s="6">
        <v>2675200</v>
      </c>
      <c r="E81" s="6">
        <v>127903224</v>
      </c>
      <c r="F81" s="6">
        <v>51214808</v>
      </c>
      <c r="G81" s="6">
        <v>8987517091.5189724</v>
      </c>
      <c r="H81" s="7">
        <v>3359.56829079</v>
      </c>
      <c r="I81" s="8">
        <v>0.30207277999999999</v>
      </c>
      <c r="J81" s="8">
        <v>0.30209079</v>
      </c>
      <c r="K81" s="8">
        <v>5.7210200000000003E-3</v>
      </c>
      <c r="L81" s="7">
        <v>70.268104219999998</v>
      </c>
      <c r="M81" s="7">
        <v>175.48669052</v>
      </c>
      <c r="N81" s="8">
        <v>1.144973E-2</v>
      </c>
      <c r="O81" s="7">
        <v>47.8107148</v>
      </c>
      <c r="P81" s="7">
        <v>19.144291119999998</v>
      </c>
    </row>
    <row r="82" spans="1:16" x14ac:dyDescent="0.2">
      <c r="A82" s="3" t="s">
        <v>20</v>
      </c>
      <c r="B82" s="5">
        <v>46023</v>
      </c>
      <c r="C82" s="5" t="s">
        <v>31</v>
      </c>
      <c r="D82" s="6">
        <v>3585648</v>
      </c>
      <c r="E82" s="6">
        <v>160081624</v>
      </c>
      <c r="F82" s="6">
        <v>75521978</v>
      </c>
      <c r="G82" s="6">
        <v>11904921007.758902</v>
      </c>
      <c r="H82" s="7">
        <v>3320.1588688500001</v>
      </c>
      <c r="I82" s="8">
        <v>0.40487688999999999</v>
      </c>
      <c r="J82" s="8">
        <v>0.40490103</v>
      </c>
      <c r="K82" s="8">
        <v>7.57809E-3</v>
      </c>
      <c r="L82" s="7">
        <v>74.367817709999997</v>
      </c>
      <c r="M82" s="7">
        <v>157.63518461999999</v>
      </c>
      <c r="N82" s="8">
        <v>1.4330300000000001E-2</v>
      </c>
      <c r="O82" s="7">
        <v>44.645102829999999</v>
      </c>
      <c r="P82" s="7">
        <v>21.062295689999999</v>
      </c>
    </row>
    <row r="83" spans="1:16" x14ac:dyDescent="0.2">
      <c r="A83" s="3" t="s">
        <v>22</v>
      </c>
      <c r="B83" s="5">
        <v>46054</v>
      </c>
      <c r="C83" s="5" t="s">
        <v>30</v>
      </c>
      <c r="D83" s="6">
        <v>3188592</v>
      </c>
      <c r="E83" s="6">
        <v>51217491</v>
      </c>
      <c r="F83" s="6">
        <v>23435042</v>
      </c>
      <c r="G83" s="6">
        <v>3951825809.3594809</v>
      </c>
      <c r="H83" s="7">
        <v>1239.3638977200001</v>
      </c>
      <c r="I83" s="8">
        <v>0.36414616</v>
      </c>
      <c r="J83" s="8">
        <v>0.36419374999999998</v>
      </c>
      <c r="K83" s="8">
        <v>2.7498900000000001E-3</v>
      </c>
      <c r="L83" s="7">
        <v>77.157739550000002</v>
      </c>
      <c r="M83" s="7">
        <v>168.62891655999999</v>
      </c>
      <c r="N83" s="8">
        <v>5.2066400000000002E-3</v>
      </c>
      <c r="O83" s="7">
        <v>16.062729480000002</v>
      </c>
      <c r="P83" s="7">
        <v>7.34965226</v>
      </c>
    </row>
    <row r="84" spans="1:16" x14ac:dyDescent="0.2">
      <c r="A84" s="3" t="s">
        <v>15</v>
      </c>
      <c r="B84" s="5">
        <v>46054</v>
      </c>
      <c r="C84" s="5"/>
      <c r="D84" s="6">
        <v>8755208</v>
      </c>
      <c r="E84" s="6">
        <v>9836960407</v>
      </c>
      <c r="F84" s="6" t="s">
        <v>16</v>
      </c>
      <c r="G84" s="6">
        <v>1437084475577.4998</v>
      </c>
      <c r="H84" s="7">
        <v>164140.52933722001</v>
      </c>
      <c r="I84" s="8">
        <v>0.99986934999999999</v>
      </c>
      <c r="J84" s="8">
        <v>1</v>
      </c>
      <c r="K84" s="8">
        <v>1</v>
      </c>
      <c r="L84" s="7">
        <v>146.09029783</v>
      </c>
      <c r="M84" s="3" t="s">
        <v>16</v>
      </c>
      <c r="N84" s="8">
        <v>1</v>
      </c>
      <c r="O84" s="7">
        <v>1123.55530641</v>
      </c>
      <c r="P84" s="7" t="s">
        <v>16</v>
      </c>
    </row>
    <row r="85" spans="1:16" x14ac:dyDescent="0.2">
      <c r="A85" s="3" t="s">
        <v>23</v>
      </c>
      <c r="B85" s="5">
        <v>46054</v>
      </c>
      <c r="C85" s="5" t="s">
        <v>31</v>
      </c>
      <c r="D85" s="6">
        <v>2419736</v>
      </c>
      <c r="E85" s="6">
        <v>75760485</v>
      </c>
      <c r="F85" s="6">
        <v>18132934</v>
      </c>
      <c r="G85" s="6">
        <v>3558813244.7997937</v>
      </c>
      <c r="H85" s="7">
        <v>1470.7444303</v>
      </c>
      <c r="I85" s="8">
        <v>0.27634065000000002</v>
      </c>
      <c r="J85" s="8">
        <v>0.27637676</v>
      </c>
      <c r="K85" s="8">
        <v>2.4764100000000001E-3</v>
      </c>
      <c r="L85" s="7">
        <v>46.974531040000002</v>
      </c>
      <c r="M85" s="7">
        <v>196.26240372000001</v>
      </c>
      <c r="N85" s="8">
        <v>7.7016200000000002E-3</v>
      </c>
      <c r="O85" s="7">
        <v>31.30940103</v>
      </c>
      <c r="P85" s="7">
        <v>7.4937655000000003</v>
      </c>
    </row>
    <row r="86" spans="1:16" x14ac:dyDescent="0.2">
      <c r="A86" s="3" t="s">
        <v>19</v>
      </c>
      <c r="B86" s="5">
        <v>46054</v>
      </c>
      <c r="C86" s="5" t="s">
        <v>30</v>
      </c>
      <c r="D86" s="6">
        <v>4414872</v>
      </c>
      <c r="E86" s="6">
        <v>78221450</v>
      </c>
      <c r="F86" s="6">
        <v>35569482</v>
      </c>
      <c r="G86" s="6">
        <v>4345788222.1593208</v>
      </c>
      <c r="H86" s="7">
        <v>984.35203152999998</v>
      </c>
      <c r="I86" s="8">
        <v>0.50419079</v>
      </c>
      <c r="J86" s="8">
        <v>0.50425666999999996</v>
      </c>
      <c r="K86" s="8">
        <v>3.02403E-3</v>
      </c>
      <c r="L86" s="7">
        <v>55.557500400000002</v>
      </c>
      <c r="M86" s="7">
        <v>122.17743886</v>
      </c>
      <c r="N86" s="8">
        <v>7.9517900000000002E-3</v>
      </c>
      <c r="O86" s="7">
        <v>17.717716320000001</v>
      </c>
      <c r="P86" s="7">
        <v>8.0567414100000008</v>
      </c>
    </row>
    <row r="87" spans="1:16" x14ac:dyDescent="0.2">
      <c r="A87" s="3" t="s">
        <v>24</v>
      </c>
      <c r="B87" s="5">
        <v>46054</v>
      </c>
      <c r="C87" s="5" t="s">
        <v>31</v>
      </c>
      <c r="D87" s="6">
        <v>2416920</v>
      </c>
      <c r="E87" s="6">
        <v>44255598</v>
      </c>
      <c r="F87" s="6">
        <v>12905384</v>
      </c>
      <c r="G87" s="6">
        <v>1711965067.1199248</v>
      </c>
      <c r="H87" s="7">
        <v>708.32508611000003</v>
      </c>
      <c r="I87" s="8">
        <v>0.27601904999999999</v>
      </c>
      <c r="J87" s="8">
        <v>0.27605511999999999</v>
      </c>
      <c r="K87" s="8">
        <v>1.1912800000000001E-3</v>
      </c>
      <c r="L87" s="7">
        <v>38.6835825</v>
      </c>
      <c r="M87" s="7">
        <v>132.65510563000001</v>
      </c>
      <c r="N87" s="8">
        <v>4.4989100000000001E-3</v>
      </c>
      <c r="O87" s="7">
        <v>18.310741669999999</v>
      </c>
      <c r="P87" s="7">
        <v>5.3395991299999999</v>
      </c>
    </row>
    <row r="88" spans="1:16" x14ac:dyDescent="0.2">
      <c r="A88" s="3" t="s">
        <v>18</v>
      </c>
      <c r="B88" s="5">
        <v>46054</v>
      </c>
      <c r="C88" s="5" t="s">
        <v>30</v>
      </c>
      <c r="D88" s="6">
        <v>4263600</v>
      </c>
      <c r="E88" s="6">
        <v>358423201</v>
      </c>
      <c r="F88" s="6">
        <v>52185066</v>
      </c>
      <c r="G88" s="6">
        <v>11535943938.639164</v>
      </c>
      <c r="H88" s="7">
        <v>2705.6815692499999</v>
      </c>
      <c r="I88" s="8">
        <v>0.48691509999999999</v>
      </c>
      <c r="J88" s="8">
        <v>0.48697871999999998</v>
      </c>
      <c r="K88" s="8">
        <v>8.0273199999999992E-3</v>
      </c>
      <c r="L88" s="7">
        <v>32.185260069999998</v>
      </c>
      <c r="M88" s="7">
        <v>221.05833898</v>
      </c>
      <c r="N88" s="8">
        <v>3.6436379999999997E-2</v>
      </c>
      <c r="O88" s="7">
        <v>84.065860060000006</v>
      </c>
      <c r="P88" s="7">
        <v>12.239672029999999</v>
      </c>
    </row>
    <row r="89" spans="1:16" x14ac:dyDescent="0.2">
      <c r="A89" s="3" t="s">
        <v>17</v>
      </c>
      <c r="B89" s="5">
        <v>46054</v>
      </c>
      <c r="C89" s="5" t="s">
        <v>30</v>
      </c>
      <c r="D89" s="6">
        <v>4702280</v>
      </c>
      <c r="E89" s="6">
        <v>276192384</v>
      </c>
      <c r="F89" s="6">
        <v>131566083</v>
      </c>
      <c r="G89" s="6">
        <v>25453134708.347977</v>
      </c>
      <c r="H89" s="7">
        <v>5412.9347270600001</v>
      </c>
      <c r="I89" s="8">
        <v>0.53701359000000004</v>
      </c>
      <c r="J89" s="8">
        <v>0.53708376000000002</v>
      </c>
      <c r="K89" s="8">
        <v>1.7711649999999999E-2</v>
      </c>
      <c r="L89" s="7">
        <v>92.157264889999993</v>
      </c>
      <c r="M89" s="7">
        <v>193.46273912999999</v>
      </c>
      <c r="N89" s="8">
        <v>2.8077000000000001E-2</v>
      </c>
      <c r="O89" s="7">
        <v>58.735843920000001</v>
      </c>
      <c r="P89" s="7">
        <v>27.979210630000001</v>
      </c>
    </row>
    <row r="90" spans="1:16" x14ac:dyDescent="0.2">
      <c r="A90" s="3" t="s">
        <v>21</v>
      </c>
      <c r="B90" s="5">
        <v>46054</v>
      </c>
      <c r="C90" s="5" t="s">
        <v>32</v>
      </c>
      <c r="D90" s="6">
        <v>3517272</v>
      </c>
      <c r="E90" s="6">
        <v>169091190</v>
      </c>
      <c r="F90" s="6">
        <v>66061110</v>
      </c>
      <c r="G90" s="6">
        <v>11064495089.119453</v>
      </c>
      <c r="H90" s="7">
        <v>3145.7604328399998</v>
      </c>
      <c r="I90" s="8">
        <v>0.40168234000000003</v>
      </c>
      <c r="J90" s="8">
        <v>0.40173482999999999</v>
      </c>
      <c r="K90" s="8">
        <v>7.6992700000000002E-3</v>
      </c>
      <c r="L90" s="7">
        <v>65.435077489999998</v>
      </c>
      <c r="M90" s="7">
        <v>167.488786</v>
      </c>
      <c r="N90" s="8">
        <v>1.7189369999999999E-2</v>
      </c>
      <c r="O90" s="7">
        <v>48.074527510000003</v>
      </c>
      <c r="P90" s="7">
        <v>18.78191674</v>
      </c>
    </row>
    <row r="91" spans="1:16" x14ac:dyDescent="0.2">
      <c r="A91" s="3" t="s">
        <v>20</v>
      </c>
      <c r="B91" s="5">
        <v>46054</v>
      </c>
      <c r="C91" s="5" t="s">
        <v>31</v>
      </c>
      <c r="D91" s="6">
        <v>3554496</v>
      </c>
      <c r="E91" s="6">
        <v>140465697</v>
      </c>
      <c r="F91" s="6">
        <v>67393967</v>
      </c>
      <c r="G91" s="6">
        <v>10412955001.678942</v>
      </c>
      <c r="H91" s="7">
        <v>2929.5165901700002</v>
      </c>
      <c r="I91" s="8">
        <v>0.40593342999999998</v>
      </c>
      <c r="J91" s="8">
        <v>0.40598646999999999</v>
      </c>
      <c r="K91" s="8">
        <v>7.2458899999999996E-3</v>
      </c>
      <c r="L91" s="7">
        <v>74.131658040000005</v>
      </c>
      <c r="M91" s="7">
        <v>154.50871229000001</v>
      </c>
      <c r="N91" s="8">
        <v>1.427938E-2</v>
      </c>
      <c r="O91" s="7">
        <v>39.517753519999999</v>
      </c>
      <c r="P91" s="7">
        <v>18.96020326</v>
      </c>
    </row>
    <row r="92" spans="1:16" x14ac:dyDescent="0.2">
      <c r="A92" s="3" t="s">
        <v>22</v>
      </c>
      <c r="B92" s="5">
        <v>46082</v>
      </c>
      <c r="C92" s="5" t="s">
        <v>30</v>
      </c>
      <c r="D92" s="6">
        <v>2999216</v>
      </c>
      <c r="E92" s="6">
        <v>51838847</v>
      </c>
      <c r="F92" s="6">
        <v>22948717</v>
      </c>
      <c r="G92" s="6">
        <v>3851880838.0794907</v>
      </c>
      <c r="H92" s="7">
        <v>1284.29590869</v>
      </c>
      <c r="I92" s="8">
        <v>0.33999042000000002</v>
      </c>
      <c r="J92" s="8">
        <v>0.34001417</v>
      </c>
      <c r="K92" s="8">
        <v>2.4871799999999999E-3</v>
      </c>
      <c r="L92" s="7">
        <v>74.304909159999994</v>
      </c>
      <c r="M92" s="7">
        <v>167.84733159000001</v>
      </c>
      <c r="N92" s="8">
        <v>4.8361999999999997E-3</v>
      </c>
      <c r="O92" s="7">
        <v>17.284132679999999</v>
      </c>
      <c r="P92" s="7">
        <v>7.6515718000000001</v>
      </c>
    </row>
    <row r="93" spans="1:16" x14ac:dyDescent="0.2">
      <c r="A93" s="3" t="s">
        <v>15</v>
      </c>
      <c r="B93" s="5">
        <v>46082</v>
      </c>
      <c r="C93" s="5"/>
      <c r="D93" s="6">
        <v>8820856</v>
      </c>
      <c r="E93" s="6">
        <v>10718932052</v>
      </c>
      <c r="F93" s="6" t="s">
        <v>16</v>
      </c>
      <c r="G93" s="6">
        <v>1548692820876.929</v>
      </c>
      <c r="H93" s="7">
        <v>175571.71558824999</v>
      </c>
      <c r="I93" s="8">
        <v>0.99993016999999995</v>
      </c>
      <c r="J93" s="8">
        <v>1</v>
      </c>
      <c r="K93" s="8">
        <v>1</v>
      </c>
      <c r="L93" s="7">
        <v>144.48200747999999</v>
      </c>
      <c r="M93" s="3" t="s">
        <v>16</v>
      </c>
      <c r="N93" s="8">
        <v>1</v>
      </c>
      <c r="O93" s="7">
        <v>1215.1804826600001</v>
      </c>
      <c r="P93" s="7" t="s">
        <v>16</v>
      </c>
    </row>
    <row r="94" spans="1:16" x14ac:dyDescent="0.2">
      <c r="A94" s="3" t="s">
        <v>23</v>
      </c>
      <c r="B94" s="5">
        <v>46082</v>
      </c>
      <c r="C94" s="5" t="s">
        <v>31</v>
      </c>
      <c r="D94" s="6">
        <v>2289848</v>
      </c>
      <c r="E94" s="6">
        <v>74438652</v>
      </c>
      <c r="F94" s="6">
        <v>17880284</v>
      </c>
      <c r="G94" s="6">
        <v>3395235278.1597733</v>
      </c>
      <c r="H94" s="7">
        <v>1482.7339099200001</v>
      </c>
      <c r="I94" s="8">
        <v>0.25957662999999997</v>
      </c>
      <c r="J94" s="8">
        <v>0.25959475999999998</v>
      </c>
      <c r="K94" s="8">
        <v>2.1923200000000002E-3</v>
      </c>
      <c r="L94" s="7">
        <v>45.611187170000001</v>
      </c>
      <c r="M94" s="7">
        <v>189.88710522</v>
      </c>
      <c r="N94" s="8">
        <v>6.9446000000000004E-3</v>
      </c>
      <c r="O94" s="7">
        <v>32.508119209999997</v>
      </c>
      <c r="P94" s="7">
        <v>7.8085023600000003</v>
      </c>
    </row>
    <row r="95" spans="1:16" x14ac:dyDescent="0.2">
      <c r="A95" s="3" t="s">
        <v>19</v>
      </c>
      <c r="B95" s="5">
        <v>46082</v>
      </c>
      <c r="C95" s="5" t="s">
        <v>30</v>
      </c>
      <c r="D95" s="6">
        <v>4438368</v>
      </c>
      <c r="E95" s="6">
        <v>83444896</v>
      </c>
      <c r="F95" s="6">
        <v>38568612</v>
      </c>
      <c r="G95" s="6">
        <v>4626090513.4392347</v>
      </c>
      <c r="H95" s="7">
        <v>1042.29539178</v>
      </c>
      <c r="I95" s="8">
        <v>0.50313235999999995</v>
      </c>
      <c r="J95" s="8">
        <v>0.50316749000000005</v>
      </c>
      <c r="K95" s="8">
        <v>2.98709E-3</v>
      </c>
      <c r="L95" s="7">
        <v>55.438866949999998</v>
      </c>
      <c r="M95" s="7">
        <v>119.94443909</v>
      </c>
      <c r="N95" s="8">
        <v>7.7848099999999996E-3</v>
      </c>
      <c r="O95" s="7">
        <v>18.800806170000001</v>
      </c>
      <c r="P95" s="7">
        <v>8.6898183800000002</v>
      </c>
    </row>
    <row r="96" spans="1:16" x14ac:dyDescent="0.2">
      <c r="A96" s="3" t="s">
        <v>24</v>
      </c>
      <c r="B96" s="5">
        <v>46082</v>
      </c>
      <c r="C96" s="5" t="s">
        <v>31</v>
      </c>
      <c r="D96" s="6">
        <v>2499200</v>
      </c>
      <c r="E96" s="6">
        <v>47334412</v>
      </c>
      <c r="F96" s="6">
        <v>13099497</v>
      </c>
      <c r="G96" s="6">
        <v>1715724109.4399309</v>
      </c>
      <c r="H96" s="7">
        <v>686.50932676000002</v>
      </c>
      <c r="I96" s="8">
        <v>0.28330873000000001</v>
      </c>
      <c r="J96" s="8">
        <v>0.28332850999999998</v>
      </c>
      <c r="K96" s="8">
        <v>1.1078500000000001E-3</v>
      </c>
      <c r="L96" s="7">
        <v>36.246866130000001</v>
      </c>
      <c r="M96" s="7">
        <v>130.97633556</v>
      </c>
      <c r="N96" s="8">
        <v>4.41596E-3</v>
      </c>
      <c r="O96" s="7">
        <v>18.9398257</v>
      </c>
      <c r="P96" s="7">
        <v>5.2414760600000001</v>
      </c>
    </row>
    <row r="97" spans="1:16" x14ac:dyDescent="0.2">
      <c r="A97" s="3" t="s">
        <v>18</v>
      </c>
      <c r="B97" s="5">
        <v>46082</v>
      </c>
      <c r="C97" s="5" t="s">
        <v>30</v>
      </c>
      <c r="D97" s="6">
        <v>4177008</v>
      </c>
      <c r="E97" s="6">
        <v>377448407</v>
      </c>
      <c r="F97" s="6">
        <v>52752205</v>
      </c>
      <c r="G97" s="6">
        <v>11733863288.398985</v>
      </c>
      <c r="H97" s="7">
        <v>2809.15509101</v>
      </c>
      <c r="I97" s="8">
        <v>0.47350465000000003</v>
      </c>
      <c r="J97" s="8">
        <v>0.47353772</v>
      </c>
      <c r="K97" s="8">
        <v>7.5766200000000001E-3</v>
      </c>
      <c r="L97" s="7">
        <v>31.087330290000001</v>
      </c>
      <c r="M97" s="7">
        <v>222.43360615</v>
      </c>
      <c r="N97" s="8">
        <v>3.5213250000000001E-2</v>
      </c>
      <c r="O97" s="7">
        <v>90.363343020000002</v>
      </c>
      <c r="P97" s="7">
        <v>12.62918468</v>
      </c>
    </row>
    <row r="98" spans="1:16" x14ac:dyDescent="0.2">
      <c r="A98" s="3" t="s">
        <v>17</v>
      </c>
      <c r="B98" s="5">
        <v>46082</v>
      </c>
      <c r="C98" s="5" t="s">
        <v>30</v>
      </c>
      <c r="D98" s="6">
        <v>4828384</v>
      </c>
      <c r="E98" s="6">
        <v>327847404</v>
      </c>
      <c r="F98" s="6">
        <v>153530610</v>
      </c>
      <c r="G98" s="6">
        <v>30264987710.362854</v>
      </c>
      <c r="H98" s="7">
        <v>6268.1401707799996</v>
      </c>
      <c r="I98" s="8">
        <v>0.54734448000000002</v>
      </c>
      <c r="J98" s="8">
        <v>0.5473827</v>
      </c>
      <c r="K98" s="8">
        <v>1.9542279999999999E-2</v>
      </c>
      <c r="L98" s="7">
        <v>92.314251560000002</v>
      </c>
      <c r="M98" s="7">
        <v>197.12673426000001</v>
      </c>
      <c r="N98" s="8">
        <v>3.0585830000000001E-2</v>
      </c>
      <c r="O98" s="7">
        <v>67.900026969999999</v>
      </c>
      <c r="P98" s="7">
        <v>31.797514400000001</v>
      </c>
    </row>
    <row r="99" spans="1:16" x14ac:dyDescent="0.2">
      <c r="A99" s="3" t="s">
        <v>21</v>
      </c>
      <c r="B99" s="5">
        <v>46082</v>
      </c>
      <c r="C99" s="5" t="s">
        <v>32</v>
      </c>
      <c r="D99" s="6">
        <v>2784144</v>
      </c>
      <c r="E99" s="6">
        <v>127559448</v>
      </c>
      <c r="F99" s="6">
        <v>49526762</v>
      </c>
      <c r="G99" s="6">
        <v>8359773072.6391201</v>
      </c>
      <c r="H99" s="7">
        <v>3002.6367431600002</v>
      </c>
      <c r="I99" s="8">
        <v>0.31560990999999999</v>
      </c>
      <c r="J99" s="8">
        <v>0.31563194999999999</v>
      </c>
      <c r="K99" s="8">
        <v>5.3979500000000003E-3</v>
      </c>
      <c r="L99" s="7">
        <v>65.536290840000007</v>
      </c>
      <c r="M99" s="7">
        <v>168.79304822</v>
      </c>
      <c r="N99" s="8">
        <v>1.190039E-2</v>
      </c>
      <c r="O99" s="7">
        <v>45.816397369999997</v>
      </c>
      <c r="P99" s="7">
        <v>17.788864969999999</v>
      </c>
    </row>
    <row r="100" spans="1:16" x14ac:dyDescent="0.2">
      <c r="A100" s="3" t="s">
        <v>20</v>
      </c>
      <c r="B100" s="5">
        <v>46082</v>
      </c>
      <c r="C100" s="5" t="s">
        <v>31</v>
      </c>
      <c r="D100" s="6">
        <v>3500024</v>
      </c>
      <c r="E100" s="6">
        <v>146239999</v>
      </c>
      <c r="F100" s="6">
        <v>69704497</v>
      </c>
      <c r="G100" s="6">
        <v>10792319999.118959</v>
      </c>
      <c r="H100" s="7">
        <v>3083.49885576</v>
      </c>
      <c r="I100" s="8">
        <v>0.3967619</v>
      </c>
      <c r="J100" s="8">
        <v>0.39678961000000001</v>
      </c>
      <c r="K100" s="8">
        <v>6.9686599999999998E-3</v>
      </c>
      <c r="L100" s="7">
        <v>73.798687610000002</v>
      </c>
      <c r="M100" s="7">
        <v>154.82960814</v>
      </c>
      <c r="N100" s="8">
        <v>1.364315E-2</v>
      </c>
      <c r="O100" s="7">
        <v>41.782570339999999</v>
      </c>
      <c r="P100" s="7">
        <v>19.915434090000002</v>
      </c>
    </row>
    <row r="101" spans="1:16" x14ac:dyDescent="0.2">
      <c r="A101" s="3" t="s">
        <v>22</v>
      </c>
      <c r="B101" s="5">
        <v>46113</v>
      </c>
      <c r="C101" s="5" t="s">
        <v>30</v>
      </c>
      <c r="D101" s="6">
        <v>2994816</v>
      </c>
      <c r="E101" s="6">
        <v>46012356</v>
      </c>
      <c r="F101" s="6">
        <v>21174087</v>
      </c>
      <c r="G101" s="6">
        <v>3440109741.199563</v>
      </c>
      <c r="H101" s="7">
        <v>1148.6881802400001</v>
      </c>
      <c r="I101" s="8">
        <v>0.33889662999999998</v>
      </c>
      <c r="J101" s="8">
        <v>0.33895402000000002</v>
      </c>
      <c r="K101" s="8">
        <v>2.4089900000000002E-3</v>
      </c>
      <c r="L101" s="7">
        <v>74.764912129999999</v>
      </c>
      <c r="M101" s="7">
        <v>162.46791041</v>
      </c>
      <c r="N101" s="8">
        <v>4.7287700000000002E-3</v>
      </c>
      <c r="O101" s="7">
        <v>15.36400094</v>
      </c>
      <c r="P101" s="7">
        <v>7.0702465300000004</v>
      </c>
    </row>
    <row r="102" spans="1:16" x14ac:dyDescent="0.2">
      <c r="A102" s="3" t="s">
        <v>15</v>
      </c>
      <c r="B102" s="5">
        <v>46113</v>
      </c>
      <c r="C102" s="5"/>
      <c r="D102" s="6">
        <v>8835464</v>
      </c>
      <c r="E102" s="6">
        <v>9730292252</v>
      </c>
      <c r="F102" s="6" t="s">
        <v>16</v>
      </c>
      <c r="G102" s="6">
        <v>1428030707223.0969</v>
      </c>
      <c r="H102" s="7">
        <v>161624.8685098</v>
      </c>
      <c r="I102" s="8">
        <v>0.99983071000000001</v>
      </c>
      <c r="J102" s="8">
        <v>1</v>
      </c>
      <c r="K102" s="8">
        <v>1</v>
      </c>
      <c r="L102" s="7">
        <v>146.76133772</v>
      </c>
      <c r="M102" s="3" t="s">
        <v>16</v>
      </c>
      <c r="N102" s="8">
        <v>1</v>
      </c>
      <c r="O102" s="7">
        <v>1101.27688276</v>
      </c>
      <c r="P102" s="7" t="s">
        <v>16</v>
      </c>
    </row>
    <row r="103" spans="1:16" x14ac:dyDescent="0.2">
      <c r="A103" s="3" t="s">
        <v>23</v>
      </c>
      <c r="B103" s="5">
        <v>46113</v>
      </c>
      <c r="C103" s="5" t="s">
        <v>31</v>
      </c>
      <c r="D103" s="6">
        <v>2059464</v>
      </c>
      <c r="E103" s="6">
        <v>68887850</v>
      </c>
      <c r="F103" s="6">
        <v>15854164</v>
      </c>
      <c r="G103" s="6">
        <v>3056682251.9198465</v>
      </c>
      <c r="H103" s="7">
        <v>1484.21251934</v>
      </c>
      <c r="I103" s="8">
        <v>0.23305118999999999</v>
      </c>
      <c r="J103" s="8">
        <v>0.23309063999999999</v>
      </c>
      <c r="K103" s="8">
        <v>2.1404900000000001E-3</v>
      </c>
      <c r="L103" s="7">
        <v>44.371862980000003</v>
      </c>
      <c r="M103" s="7">
        <v>192.79996908000001</v>
      </c>
      <c r="N103" s="8">
        <v>7.0797300000000002E-3</v>
      </c>
      <c r="O103" s="7">
        <v>33.44940734</v>
      </c>
      <c r="P103" s="7">
        <v>7.6981989500000001</v>
      </c>
    </row>
    <row r="104" spans="1:16" x14ac:dyDescent="0.2">
      <c r="A104" s="3" t="s">
        <v>19</v>
      </c>
      <c r="B104" s="5">
        <v>46113</v>
      </c>
      <c r="C104" s="5" t="s">
        <v>30</v>
      </c>
      <c r="D104" s="6">
        <v>4432120</v>
      </c>
      <c r="E104" s="6">
        <v>74210553</v>
      </c>
      <c r="F104" s="6">
        <v>34555530</v>
      </c>
      <c r="G104" s="6">
        <v>4084416297.2793636</v>
      </c>
      <c r="H104" s="7">
        <v>921.54912260000003</v>
      </c>
      <c r="I104" s="8">
        <v>0.50154352000000002</v>
      </c>
      <c r="J104" s="8">
        <v>0.50162843999999995</v>
      </c>
      <c r="K104" s="8">
        <v>2.86017E-3</v>
      </c>
      <c r="L104" s="7">
        <v>55.038213910000003</v>
      </c>
      <c r="M104" s="7">
        <v>118.19862895999999</v>
      </c>
      <c r="N104" s="8">
        <v>7.6267499999999998E-3</v>
      </c>
      <c r="O104" s="7">
        <v>16.74380502</v>
      </c>
      <c r="P104" s="7">
        <v>7.7966143199999998</v>
      </c>
    </row>
    <row r="105" spans="1:16" x14ac:dyDescent="0.2">
      <c r="A105" s="3" t="s">
        <v>24</v>
      </c>
      <c r="B105" s="5">
        <v>46113</v>
      </c>
      <c r="C105" s="5" t="s">
        <v>31</v>
      </c>
      <c r="D105" s="6">
        <v>2389640</v>
      </c>
      <c r="E105" s="6">
        <v>48782916</v>
      </c>
      <c r="F105" s="6">
        <v>12341206</v>
      </c>
      <c r="G105" s="6">
        <v>1656372106.3999362</v>
      </c>
      <c r="H105" s="7">
        <v>693.14712943999996</v>
      </c>
      <c r="I105" s="8">
        <v>0.27041426000000002</v>
      </c>
      <c r="J105" s="8">
        <v>0.27046005000000001</v>
      </c>
      <c r="K105" s="8">
        <v>1.1599E-3</v>
      </c>
      <c r="L105" s="7">
        <v>33.95393791</v>
      </c>
      <c r="M105" s="7">
        <v>134.2147659</v>
      </c>
      <c r="N105" s="8">
        <v>5.0135099999999997E-3</v>
      </c>
      <c r="O105" s="7">
        <v>20.414336949999999</v>
      </c>
      <c r="P105" s="7">
        <v>5.1644625299999998</v>
      </c>
    </row>
    <row r="106" spans="1:16" x14ac:dyDescent="0.2">
      <c r="A106" s="3" t="s">
        <v>18</v>
      </c>
      <c r="B106" s="5">
        <v>46113</v>
      </c>
      <c r="C106" s="5" t="s">
        <v>30</v>
      </c>
      <c r="D106" s="6">
        <v>4115232</v>
      </c>
      <c r="E106" s="6">
        <v>348708086</v>
      </c>
      <c r="F106" s="6">
        <v>48123980</v>
      </c>
      <c r="G106" s="6">
        <v>10716020180.799074</v>
      </c>
      <c r="H106" s="7">
        <v>2603.9893208399999</v>
      </c>
      <c r="I106" s="8">
        <v>0.46568412999999997</v>
      </c>
      <c r="J106" s="8">
        <v>0.46576297999999999</v>
      </c>
      <c r="K106" s="8">
        <v>7.50405E-3</v>
      </c>
      <c r="L106" s="7">
        <v>30.730632870000001</v>
      </c>
      <c r="M106" s="7">
        <v>222.67526839999999</v>
      </c>
      <c r="N106" s="8">
        <v>3.583737E-2</v>
      </c>
      <c r="O106" s="7">
        <v>84.735948379999996</v>
      </c>
      <c r="P106" s="7">
        <v>11.69411107</v>
      </c>
    </row>
    <row r="107" spans="1:16" x14ac:dyDescent="0.2">
      <c r="A107" s="3" t="s">
        <v>17</v>
      </c>
      <c r="B107" s="5">
        <v>46113</v>
      </c>
      <c r="C107" s="5" t="s">
        <v>30</v>
      </c>
      <c r="D107" s="6">
        <v>4825128</v>
      </c>
      <c r="E107" s="6">
        <v>299390453</v>
      </c>
      <c r="F107" s="6">
        <v>139397853</v>
      </c>
      <c r="G107" s="6">
        <v>26749380800.591007</v>
      </c>
      <c r="H107" s="7">
        <v>5543.7660515099997</v>
      </c>
      <c r="I107" s="8">
        <v>0.54601672999999995</v>
      </c>
      <c r="J107" s="8">
        <v>0.54610917999999997</v>
      </c>
      <c r="K107" s="8">
        <v>1.8731660000000001E-2</v>
      </c>
      <c r="L107" s="7">
        <v>89.346138199999999</v>
      </c>
      <c r="M107" s="7">
        <v>191.89234445</v>
      </c>
      <c r="N107" s="8">
        <v>3.076891E-2</v>
      </c>
      <c r="O107" s="7">
        <v>62.048188799999998</v>
      </c>
      <c r="P107" s="7">
        <v>28.889980300000001</v>
      </c>
    </row>
    <row r="108" spans="1:16" x14ac:dyDescent="0.2">
      <c r="A108" s="3" t="s">
        <v>21</v>
      </c>
      <c r="B108" s="5">
        <v>46113</v>
      </c>
      <c r="C108" s="5" t="s">
        <v>32</v>
      </c>
      <c r="D108" s="6">
        <v>2615536</v>
      </c>
      <c r="E108" s="6">
        <v>110924687</v>
      </c>
      <c r="F108" s="6">
        <v>44676328</v>
      </c>
      <c r="G108" s="6">
        <v>7711251100.9591112</v>
      </c>
      <c r="H108" s="7">
        <v>2948.24888702</v>
      </c>
      <c r="I108" s="8">
        <v>0.29597689999999999</v>
      </c>
      <c r="J108" s="8">
        <v>0.29602700999999998</v>
      </c>
      <c r="K108" s="8">
        <v>5.3999199999999999E-3</v>
      </c>
      <c r="L108" s="7">
        <v>69.517898040000006</v>
      </c>
      <c r="M108" s="7">
        <v>172.60261818999999</v>
      </c>
      <c r="N108" s="8">
        <v>1.1399930000000001E-2</v>
      </c>
      <c r="O108" s="7">
        <v>42.409925639999997</v>
      </c>
      <c r="P108" s="7">
        <v>17.081136529999998</v>
      </c>
    </row>
    <row r="109" spans="1:16" x14ac:dyDescent="0.2">
      <c r="A109" s="3" t="s">
        <v>20</v>
      </c>
      <c r="B109" s="5">
        <v>46113</v>
      </c>
      <c r="C109" s="5" t="s">
        <v>31</v>
      </c>
      <c r="D109" s="6">
        <v>3621024</v>
      </c>
      <c r="E109" s="6">
        <v>138639532</v>
      </c>
      <c r="F109" s="6">
        <v>67419999</v>
      </c>
      <c r="G109" s="6">
        <v>10395045001.439058</v>
      </c>
      <c r="H109" s="7">
        <v>2870.7473359599999</v>
      </c>
      <c r="I109" s="8">
        <v>0.40975900999999998</v>
      </c>
      <c r="J109" s="8">
        <v>0.40982838999999999</v>
      </c>
      <c r="K109" s="8">
        <v>7.2792899999999999E-3</v>
      </c>
      <c r="L109" s="7">
        <v>74.978938790000001</v>
      </c>
      <c r="M109" s="7">
        <v>154.18340531999999</v>
      </c>
      <c r="N109" s="8">
        <v>1.4248240000000001E-2</v>
      </c>
      <c r="O109" s="7">
        <v>38.287382860000001</v>
      </c>
      <c r="P109" s="7">
        <v>18.619042239999999</v>
      </c>
    </row>
    <row r="110" spans="1:16" x14ac:dyDescent="0.2">
      <c r="A110" s="3" t="s">
        <v>25</v>
      </c>
      <c r="B110" s="5">
        <v>45778</v>
      </c>
      <c r="C110" s="5" t="s">
        <v>31</v>
      </c>
      <c r="D110" s="6">
        <v>1118480</v>
      </c>
      <c r="E110" s="6">
        <v>16483622</v>
      </c>
      <c r="F110" s="6">
        <v>3559005</v>
      </c>
      <c r="G110" s="7">
        <v>581085076.88000309</v>
      </c>
      <c r="H110" s="7">
        <v>519.53103934000001</v>
      </c>
      <c r="I110" s="8">
        <v>0.13088654999999999</v>
      </c>
      <c r="J110" s="8">
        <v>0.13092834</v>
      </c>
      <c r="K110" s="8">
        <v>5.1725999999999996E-4</v>
      </c>
      <c r="L110" s="7">
        <v>35.252268319999999</v>
      </c>
      <c r="M110" s="7">
        <v>163.27177323000001</v>
      </c>
      <c r="N110" s="8">
        <v>1.5382200000000001E-3</v>
      </c>
      <c r="O110" s="7">
        <v>14.737520849999999</v>
      </c>
      <c r="P110" s="7">
        <v>3.1820015700000002</v>
      </c>
    </row>
    <row r="111" spans="1:16" x14ac:dyDescent="0.2">
      <c r="A111" s="3" t="s">
        <v>25</v>
      </c>
      <c r="B111" s="5">
        <v>45809</v>
      </c>
      <c r="C111" s="5" t="s">
        <v>31</v>
      </c>
      <c r="D111" s="6">
        <v>1076856</v>
      </c>
      <c r="E111" s="6">
        <v>12283990</v>
      </c>
      <c r="F111" s="6">
        <v>3137610</v>
      </c>
      <c r="G111" s="7">
        <v>481203063.43999863</v>
      </c>
      <c r="H111" s="7">
        <v>446.85924899999998</v>
      </c>
      <c r="I111" s="8">
        <v>0.1260338</v>
      </c>
      <c r="J111" s="8">
        <v>0.12608444999999999</v>
      </c>
      <c r="K111" s="8">
        <v>4.6129999999999999E-4</v>
      </c>
      <c r="L111" s="7">
        <v>39.173187849999998</v>
      </c>
      <c r="M111" s="7">
        <v>153.36611343000001</v>
      </c>
      <c r="N111" s="8">
        <v>1.2137599999999999E-3</v>
      </c>
      <c r="O111" s="7">
        <v>11.40727302</v>
      </c>
      <c r="P111" s="7">
        <v>2.9136765499999999</v>
      </c>
    </row>
    <row r="112" spans="1:16" x14ac:dyDescent="0.2">
      <c r="A112" s="3" t="s">
        <v>25</v>
      </c>
      <c r="B112" s="5">
        <v>45839</v>
      </c>
      <c r="C112" s="5" t="s">
        <v>31</v>
      </c>
      <c r="D112" s="6">
        <v>1111264</v>
      </c>
      <c r="E112" s="6">
        <v>12196116</v>
      </c>
      <c r="F112" s="6">
        <v>3632807</v>
      </c>
      <c r="G112" s="7">
        <v>473769097.1199975</v>
      </c>
      <c r="H112" s="7">
        <v>426.33352392</v>
      </c>
      <c r="I112" s="8">
        <v>0.13033606</v>
      </c>
      <c r="J112" s="8">
        <v>0.13041412999999999</v>
      </c>
      <c r="K112" s="8">
        <v>4.4806000000000002E-4</v>
      </c>
      <c r="L112" s="7">
        <v>38.84589879</v>
      </c>
      <c r="M112" s="7">
        <v>130.41404926000001</v>
      </c>
      <c r="N112" s="8">
        <v>1.1816699999999999E-3</v>
      </c>
      <c r="O112" s="7">
        <v>10.97499446</v>
      </c>
      <c r="P112" s="7">
        <v>3.2690766600000001</v>
      </c>
    </row>
    <row r="113" spans="1:16" x14ac:dyDescent="0.2">
      <c r="A113" s="3" t="s">
        <v>25</v>
      </c>
      <c r="B113" s="5">
        <v>45870</v>
      </c>
      <c r="C113" s="5" t="s">
        <v>31</v>
      </c>
      <c r="D113" s="6">
        <v>1135640</v>
      </c>
      <c r="E113" s="6">
        <v>13293417</v>
      </c>
      <c r="F113" s="6">
        <v>3271521</v>
      </c>
      <c r="G113" s="7">
        <v>473124101.99999696</v>
      </c>
      <c r="H113" s="7">
        <v>416.61450988000001</v>
      </c>
      <c r="I113" s="8">
        <v>0.13314418</v>
      </c>
      <c r="J113" s="8">
        <v>0.13320878</v>
      </c>
      <c r="K113" s="8">
        <v>4.6243E-4</v>
      </c>
      <c r="L113" s="7">
        <v>35.59085614</v>
      </c>
      <c r="M113" s="7">
        <v>144.61898253999999</v>
      </c>
      <c r="N113" s="8">
        <v>1.36666E-3</v>
      </c>
      <c r="O113" s="7">
        <v>11.70566137</v>
      </c>
      <c r="P113" s="7">
        <v>2.8807733400000002</v>
      </c>
    </row>
    <row r="114" spans="1:16" x14ac:dyDescent="0.2">
      <c r="A114" s="3" t="s">
        <v>25</v>
      </c>
      <c r="B114" s="5">
        <v>45901</v>
      </c>
      <c r="C114" s="5" t="s">
        <v>31</v>
      </c>
      <c r="D114" s="6">
        <v>1174888</v>
      </c>
      <c r="E114" s="6">
        <v>12888467</v>
      </c>
      <c r="F114" s="6">
        <v>3096535</v>
      </c>
      <c r="G114" s="7">
        <v>398166042.56000066</v>
      </c>
      <c r="H114" s="7">
        <v>338.89702045000001</v>
      </c>
      <c r="I114" s="8">
        <v>0.13469396</v>
      </c>
      <c r="J114" s="8">
        <v>0.13470483</v>
      </c>
      <c r="K114" s="8">
        <v>3.9006000000000002E-4</v>
      </c>
      <c r="L114" s="7">
        <v>30.893204659999999</v>
      </c>
      <c r="M114" s="7">
        <v>128.58437473999999</v>
      </c>
      <c r="N114" s="8">
        <v>1.27651E-3</v>
      </c>
      <c r="O114" s="7">
        <v>10.96995356</v>
      </c>
      <c r="P114" s="7">
        <v>2.6356003299999999</v>
      </c>
    </row>
    <row r="115" spans="1:16" x14ac:dyDescent="0.2">
      <c r="A115" s="3" t="s">
        <v>25</v>
      </c>
      <c r="B115" s="5">
        <v>45931</v>
      </c>
      <c r="C115" s="5" t="s">
        <v>31</v>
      </c>
      <c r="D115" s="6">
        <v>1068584</v>
      </c>
      <c r="E115" s="6">
        <v>12934480</v>
      </c>
      <c r="F115" s="6">
        <v>2904545</v>
      </c>
      <c r="G115" s="7">
        <v>373218043.44000196</v>
      </c>
      <c r="H115" s="7">
        <v>349.26411347999999</v>
      </c>
      <c r="I115" s="8">
        <v>0.12177950999999999</v>
      </c>
      <c r="J115" s="8">
        <v>0.12179172000000001</v>
      </c>
      <c r="K115" s="8">
        <v>3.3745999999999998E-4</v>
      </c>
      <c r="L115" s="7">
        <v>28.854506440000002</v>
      </c>
      <c r="M115" s="7">
        <v>128.49450755000001</v>
      </c>
      <c r="N115" s="8">
        <v>1.2282599999999999E-3</v>
      </c>
      <c r="O115" s="7">
        <v>12.10431771</v>
      </c>
      <c r="P115" s="7">
        <v>2.7181248500000001</v>
      </c>
    </row>
    <row r="116" spans="1:16" x14ac:dyDescent="0.2">
      <c r="A116" s="3" t="s">
        <v>25</v>
      </c>
      <c r="B116" s="5">
        <v>45962</v>
      </c>
      <c r="C116" s="5" t="s">
        <v>31</v>
      </c>
      <c r="D116" s="6">
        <v>1152360</v>
      </c>
      <c r="E116" s="6">
        <v>13467156</v>
      </c>
      <c r="F116" s="6">
        <v>2931316</v>
      </c>
      <c r="G116" s="7">
        <v>375954028.56000173</v>
      </c>
      <c r="H116" s="7">
        <v>326.24703092999999</v>
      </c>
      <c r="I116" s="8">
        <v>0.13136907</v>
      </c>
      <c r="J116" s="8">
        <v>0.13138884000000001</v>
      </c>
      <c r="K116" s="8">
        <v>2.8983999999999998E-4</v>
      </c>
      <c r="L116" s="7">
        <v>27.916364640000001</v>
      </c>
      <c r="M116" s="7">
        <v>128.25434661</v>
      </c>
      <c r="N116" s="8">
        <v>1.3397400000000001E-3</v>
      </c>
      <c r="O116" s="7">
        <v>11.686587250000001</v>
      </c>
      <c r="P116" s="7">
        <v>2.5437502900000002</v>
      </c>
    </row>
    <row r="117" spans="1:16" x14ac:dyDescent="0.2">
      <c r="A117" s="3" t="s">
        <v>25</v>
      </c>
      <c r="B117" s="5">
        <v>45992</v>
      </c>
      <c r="C117" s="5" t="s">
        <v>31</v>
      </c>
      <c r="D117" s="6">
        <v>1225400</v>
      </c>
      <c r="E117" s="6">
        <v>14783534</v>
      </c>
      <c r="F117" s="6">
        <v>3463334</v>
      </c>
      <c r="G117" s="7">
        <v>483195020.00000286</v>
      </c>
      <c r="H117" s="7">
        <v>394.31615799000002</v>
      </c>
      <c r="I117" s="8">
        <v>0.13961578999999999</v>
      </c>
      <c r="J117" s="8">
        <v>0.13963118999999999</v>
      </c>
      <c r="K117" s="8">
        <v>3.4840000000000001E-4</v>
      </c>
      <c r="L117" s="7">
        <v>32.684675009999999</v>
      </c>
      <c r="M117" s="7">
        <v>139.51729682000001</v>
      </c>
      <c r="N117" s="8">
        <v>1.5157700000000001E-3</v>
      </c>
      <c r="O117" s="7">
        <v>12.064252059999999</v>
      </c>
      <c r="P117" s="7">
        <v>2.8262886900000002</v>
      </c>
    </row>
    <row r="118" spans="1:16" x14ac:dyDescent="0.2">
      <c r="A118" s="3" t="s">
        <v>25</v>
      </c>
      <c r="B118" s="5">
        <v>46023</v>
      </c>
      <c r="C118" s="5" t="s">
        <v>31</v>
      </c>
      <c r="D118" s="6">
        <v>1139688</v>
      </c>
      <c r="E118" s="6">
        <v>15467999</v>
      </c>
      <c r="F118" s="6">
        <v>3099364</v>
      </c>
      <c r="G118" s="7">
        <v>422358048.63999933</v>
      </c>
      <c r="H118" s="7">
        <v>370.59094124000001</v>
      </c>
      <c r="I118" s="8">
        <v>0.12868895999999999</v>
      </c>
      <c r="J118" s="8">
        <v>0.12869664</v>
      </c>
      <c r="K118" s="8">
        <v>2.6885E-4</v>
      </c>
      <c r="L118" s="7">
        <v>27.305279680000002</v>
      </c>
      <c r="M118" s="7">
        <v>136.27251075999999</v>
      </c>
      <c r="N118" s="8">
        <v>1.3846799999999999E-3</v>
      </c>
      <c r="O118" s="7">
        <v>13.57213497</v>
      </c>
      <c r="P118" s="7">
        <v>2.7194842100000001</v>
      </c>
    </row>
    <row r="119" spans="1:16" x14ac:dyDescent="0.2">
      <c r="A119" s="3" t="s">
        <v>25</v>
      </c>
      <c r="B119" s="5">
        <v>46054</v>
      </c>
      <c r="C119" s="5" t="s">
        <v>31</v>
      </c>
      <c r="D119" s="6">
        <v>966416</v>
      </c>
      <c r="E119" s="6">
        <v>12557812</v>
      </c>
      <c r="F119" s="6">
        <v>2385222</v>
      </c>
      <c r="G119" s="7">
        <v>333084042.72000092</v>
      </c>
      <c r="H119" s="7">
        <v>344.65907303</v>
      </c>
      <c r="I119" s="8">
        <v>0.11036741999999999</v>
      </c>
      <c r="J119" s="8">
        <v>0.11038183999999999</v>
      </c>
      <c r="K119" s="8">
        <v>2.3178000000000001E-4</v>
      </c>
      <c r="L119" s="7">
        <v>26.52405057</v>
      </c>
      <c r="M119" s="7">
        <v>139.64485773999999</v>
      </c>
      <c r="N119" s="8">
        <v>1.27659E-3</v>
      </c>
      <c r="O119" s="7">
        <v>12.994209619999999</v>
      </c>
      <c r="P119" s="7">
        <v>2.4681114599999998</v>
      </c>
    </row>
    <row r="120" spans="1:16" x14ac:dyDescent="0.2">
      <c r="A120" s="3" t="s">
        <v>25</v>
      </c>
      <c r="B120" s="5">
        <v>46082</v>
      </c>
      <c r="C120" s="5" t="s">
        <v>31</v>
      </c>
      <c r="D120" s="6">
        <v>922416</v>
      </c>
      <c r="E120" s="6">
        <v>14285791</v>
      </c>
      <c r="F120" s="6">
        <v>2437396</v>
      </c>
      <c r="G120" s="7">
        <v>319062032.08000052</v>
      </c>
      <c r="H120" s="7">
        <v>345.89819785999998</v>
      </c>
      <c r="I120" s="8">
        <v>0.10456486</v>
      </c>
      <c r="J120" s="8">
        <v>0.10457216</v>
      </c>
      <c r="K120" s="8">
        <v>2.0602000000000001E-4</v>
      </c>
      <c r="L120" s="7">
        <v>22.334222870000001</v>
      </c>
      <c r="M120" s="7">
        <v>130.90283771</v>
      </c>
      <c r="N120" s="8">
        <v>1.3327600000000001E-3</v>
      </c>
      <c r="O120" s="7">
        <v>15.48736214</v>
      </c>
      <c r="P120" s="7">
        <v>2.6424041200000001</v>
      </c>
    </row>
    <row r="121" spans="1:16" x14ac:dyDescent="0.2">
      <c r="A121" s="3" t="s">
        <v>25</v>
      </c>
      <c r="B121" s="5">
        <v>46113</v>
      </c>
      <c r="C121" s="5" t="s">
        <v>31</v>
      </c>
      <c r="D121" s="6">
        <v>798160</v>
      </c>
      <c r="E121" s="6">
        <v>12674468</v>
      </c>
      <c r="F121" s="6">
        <v>2230157</v>
      </c>
      <c r="G121" s="7">
        <v>296844052.56000131</v>
      </c>
      <c r="H121" s="7">
        <v>371.91045975999998</v>
      </c>
      <c r="I121" s="8">
        <v>9.0320650000000002E-2</v>
      </c>
      <c r="J121" s="8">
        <v>9.0335949999999998E-2</v>
      </c>
      <c r="K121" s="8">
        <v>2.0787E-4</v>
      </c>
      <c r="L121" s="7">
        <v>23.420631400000001</v>
      </c>
      <c r="M121" s="7">
        <v>133.10457059000001</v>
      </c>
      <c r="N121" s="8">
        <v>1.30258E-3</v>
      </c>
      <c r="O121" s="7">
        <v>15.879608599999999</v>
      </c>
      <c r="P121" s="7">
        <v>2.7941223800000001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B0E-3718-4FFC-B5F7-69921E7DACAE}">
  <dimension ref="A1:B14"/>
  <sheetViews>
    <sheetView workbookViewId="0">
      <selection activeCell="A13" sqref="A4:A13"/>
    </sheetView>
  </sheetViews>
  <sheetFormatPr defaultRowHeight="15" x14ac:dyDescent="0.25"/>
  <cols>
    <col min="1" max="1" width="15.140625" bestFit="1" customWidth="1"/>
    <col min="2" max="2" width="7.28515625" bestFit="1" customWidth="1"/>
    <col min="3" max="3" width="5.28515625" bestFit="1" customWidth="1"/>
    <col min="4" max="4" width="6.85546875" bestFit="1" customWidth="1"/>
    <col min="5" max="5" width="9.140625" bestFit="1" customWidth="1"/>
    <col min="6" max="6" width="13.7109375" bestFit="1" customWidth="1"/>
    <col min="7" max="9" width="10.140625" bestFit="1" customWidth="1"/>
    <col min="10" max="10" width="11.7109375" bestFit="1" customWidth="1"/>
    <col min="11" max="14" width="10.140625" bestFit="1" customWidth="1"/>
    <col min="15" max="15" width="11.7109375" bestFit="1" customWidth="1"/>
    <col min="16" max="16" width="13.7109375" bestFit="1" customWidth="1"/>
  </cols>
  <sheetData>
    <row r="1" spans="1:2" x14ac:dyDescent="0.25">
      <c r="A1" s="1" t="s">
        <v>29</v>
      </c>
      <c r="B1" t="s">
        <v>28</v>
      </c>
    </row>
    <row r="3" spans="1:2" x14ac:dyDescent="0.25">
      <c r="A3" s="1" t="s">
        <v>26</v>
      </c>
    </row>
    <row r="4" spans="1:2" x14ac:dyDescent="0.25">
      <c r="A4" s="2" t="s">
        <v>22</v>
      </c>
    </row>
    <row r="5" spans="1:2" x14ac:dyDescent="0.25">
      <c r="A5" s="2" t="s">
        <v>15</v>
      </c>
    </row>
    <row r="6" spans="1:2" x14ac:dyDescent="0.25">
      <c r="A6" s="2" t="s">
        <v>23</v>
      </c>
    </row>
    <row r="7" spans="1:2" x14ac:dyDescent="0.25">
      <c r="A7" s="2" t="s">
        <v>19</v>
      </c>
    </row>
    <row r="8" spans="1:2" x14ac:dyDescent="0.25">
      <c r="A8" s="2" t="s">
        <v>25</v>
      </c>
    </row>
    <row r="9" spans="1:2" x14ac:dyDescent="0.25">
      <c r="A9" s="2" t="s">
        <v>24</v>
      </c>
    </row>
    <row r="10" spans="1:2" x14ac:dyDescent="0.25">
      <c r="A10" s="2" t="s">
        <v>18</v>
      </c>
    </row>
    <row r="11" spans="1:2" x14ac:dyDescent="0.25">
      <c r="A11" s="2" t="s">
        <v>17</v>
      </c>
    </row>
    <row r="12" spans="1:2" x14ac:dyDescent="0.25">
      <c r="A12" s="2" t="s">
        <v>21</v>
      </c>
    </row>
    <row r="13" spans="1:2" x14ac:dyDescent="0.25">
      <c r="A13" s="2" t="s">
        <v>20</v>
      </c>
    </row>
    <row r="14" spans="1:2" x14ac:dyDescent="0.25">
      <c r="A14" s="2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Milan Pštross</cp:lastModifiedBy>
  <dcterms:created xsi:type="dcterms:W3CDTF">2015-06-05T18:19:34Z</dcterms:created>
  <dcterms:modified xsi:type="dcterms:W3CDTF">2026-05-06T13:37:05Z</dcterms:modified>
</cp:coreProperties>
</file>